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E16" i="1"/>
  <c r="E17" i="1"/>
  <c r="E14" i="1"/>
  <c r="F3" i="1"/>
  <c r="F4" i="1"/>
  <c r="F5" i="1"/>
  <c r="F6" i="1"/>
  <c r="F7" i="1"/>
  <c r="F8" i="1"/>
  <c r="F9" i="1"/>
  <c r="F10" i="1"/>
  <c r="F11" i="1"/>
  <c r="F2" i="1"/>
  <c r="A23" i="1"/>
  <c r="A21" i="1"/>
  <c r="A20" i="1"/>
  <c r="A17" i="1"/>
  <c r="A16" i="1"/>
  <c r="A15" i="1"/>
  <c r="I3" i="1"/>
  <c r="I2" i="1"/>
  <c r="A18" i="1"/>
  <c r="A19" i="1"/>
  <c r="A22" i="1"/>
  <c r="A14" i="1"/>
</calcChain>
</file>

<file path=xl/sharedStrings.xml><?xml version="1.0" encoding="utf-8"?>
<sst xmlns="http://schemas.openxmlformats.org/spreadsheetml/2006/main" count="42" uniqueCount="23">
  <si>
    <t>AGE</t>
  </si>
  <si>
    <t>EMPLOYERS</t>
  </si>
  <si>
    <t>ALI</t>
  </si>
  <si>
    <t>AISHA</t>
  </si>
  <si>
    <t>HALIMA</t>
  </si>
  <si>
    <t>WARSAME</t>
  </si>
  <si>
    <t>HASSAN</t>
  </si>
  <si>
    <t>MOHAMMED</t>
  </si>
  <si>
    <t>AHMED</t>
  </si>
  <si>
    <t>SEINAB</t>
  </si>
  <si>
    <t>HAMDA</t>
  </si>
  <si>
    <t>SUNDUS</t>
  </si>
  <si>
    <t>SALARY</t>
  </si>
  <si>
    <t>PROPER</t>
  </si>
  <si>
    <t>SEX</t>
  </si>
  <si>
    <t>Male</t>
  </si>
  <si>
    <t>Female</t>
  </si>
  <si>
    <t>COUNTIF</t>
  </si>
  <si>
    <t>COUNTIFS</t>
  </si>
  <si>
    <t>EXP&gt;3</t>
  </si>
  <si>
    <t>EXP_YEARS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</si>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</sst>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6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8" formatCode="&quot;$&quot;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934441366574332E-2"/>
          <c:y val="0.23646067415730337"/>
          <c:w val="0.91874422899353647"/>
          <c:h val="0.6013195611784482"/>
        </c:manualLayout>
      </c:layout>
      <c:pie3DChart>
        <c:varyColors val="1"/>
        <c:ser>
          <c:idx val="0"/>
          <c:order val="0"/>
          <c:tx>
            <c:strRef>
              <c:f>Sheet1!$I$1</c:f>
              <c:strCache>
                <c:ptCount val="1"/>
                <c:pt idx="0">
                  <c:v>COUNTIF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Sheet1!$H$2:$H$3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Sheet1!$I$2:$I$3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2-45FD-AD7B-F57696287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107950</xdr:colOff>
      <xdr:row>0</xdr:row>
      <xdr:rowOff>0</xdr:rowOff>
    </xdr:from>
    <xdr:to>
      <xdr:col>14</xdr:col>
      <xdr:colOff>273050</xdr:colOff>
      <xdr:row>11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1:F11" totalsRowShown="0" dataDxfId="3">
  <autoFilter ref="A1:F11"/>
  <tableColumns count="6">
    <tableColumn id="1" name="EMPLOYERS"/>
    <tableColumn id="2" name="AGE" dataDxfId="5"/>
    <tableColumn id="3" name="SEX" dataDxfId="4"/>
    <tableColumn id="4" name="SALARY" dataDxfId="2"/>
    <tableColumn id="5" name="EXP_YEARS" dataDxfId="0"/>
    <tableColumn id="6" name="EXP&gt;3" dataDxfId="1">
      <calculatedColumnFormula>IF(Table2[[#This Row],[EXP_YEARS]]&gt;=3,"Yes","No")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H1:I3" totalsRowShown="0">
  <autoFilter ref="H1:I3"/>
  <tableColumns count="2">
    <tableColumn id="1" name="SEX"/>
    <tableColumn id="2" name="COUNTIF">
      <calculatedColumnFormula>COUNTIF(Table2[SEX],H2)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3:A23" totalsRowShown="0">
  <autoFilter ref="A13:A23"/>
  <tableColumns count="1">
    <tableColumn id="1" name="PROPER">
      <calculatedColumnFormula>PROPER(A2)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C13:E17" totalsRowShown="0">
  <autoFilter ref="C13:E17"/>
  <tableColumns count="3">
    <tableColumn id="1" name="SEX"/>
    <tableColumn id="2" name="EXP&gt;3"/>
    <tableColumn id="3" name="COUNTIFS">
      <calculatedColumnFormula>COUNTIFS(Table2[SEX],C14,Table2[EXP&gt;3],D14)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G17" sqref="G17"/>
    </sheetView>
  </sheetViews>
  <sheetFormatPr defaultRowHeight="14.5" x14ac:dyDescent="0.35"/>
  <cols>
    <col min="1" max="1" width="14.08984375" customWidth="1"/>
    <col min="2" max="2" width="10.26953125" customWidth="1"/>
    <col min="3" max="3" width="9.1796875" customWidth="1"/>
    <col min="4" max="4" width="12.90625" customWidth="1"/>
    <col min="5" max="6" width="13" customWidth="1"/>
    <col min="7" max="7" width="9.90625" customWidth="1"/>
    <col min="8" max="8" width="10.08984375" customWidth="1"/>
  </cols>
  <sheetData>
    <row r="1" spans="1:9" x14ac:dyDescent="0.35">
      <c r="A1" t="s">
        <v>1</v>
      </c>
      <c r="B1" t="s">
        <v>0</v>
      </c>
      <c r="C1" t="s">
        <v>14</v>
      </c>
      <c r="D1" t="s">
        <v>12</v>
      </c>
      <c r="E1" t="s">
        <v>20</v>
      </c>
      <c r="F1" t="s">
        <v>19</v>
      </c>
      <c r="H1" t="s">
        <v>14</v>
      </c>
      <c r="I1" t="s">
        <v>17</v>
      </c>
    </row>
    <row r="2" spans="1:9" x14ac:dyDescent="0.35">
      <c r="A2" t="s">
        <v>2</v>
      </c>
      <c r="B2" s="1">
        <v>34</v>
      </c>
      <c r="C2" s="1" t="s">
        <v>15</v>
      </c>
      <c r="D2" s="2">
        <v>2000</v>
      </c>
      <c r="E2" s="3">
        <v>2</v>
      </c>
      <c r="F2" s="1" t="str">
        <f>IF(Table2[[#This Row],[EXP_YEARS]]&gt;=3,"Yes","No")</f>
        <v>No</v>
      </c>
      <c r="H2" t="s">
        <v>15</v>
      </c>
      <c r="I2">
        <f>COUNTIF(Table2[SEX],H2)</f>
        <v>5</v>
      </c>
    </row>
    <row r="3" spans="1:9" x14ac:dyDescent="0.35">
      <c r="A3" t="s">
        <v>3</v>
      </c>
      <c r="B3" s="1">
        <v>33</v>
      </c>
      <c r="C3" s="1" t="s">
        <v>16</v>
      </c>
      <c r="D3" s="2">
        <v>3500</v>
      </c>
      <c r="E3" s="3">
        <v>4</v>
      </c>
      <c r="F3" s="1" t="str">
        <f>IF(Table2[[#This Row],[EXP_YEARS]]&gt;=3,"Yes","No")</f>
        <v>Yes</v>
      </c>
      <c r="H3" t="s">
        <v>16</v>
      </c>
      <c r="I3">
        <f>COUNTIF(Table2[SEX],H3)</f>
        <v>5</v>
      </c>
    </row>
    <row r="4" spans="1:9" x14ac:dyDescent="0.35">
      <c r="A4" t="s">
        <v>4</v>
      </c>
      <c r="B4" s="1">
        <v>22</v>
      </c>
      <c r="C4" s="1" t="s">
        <v>16</v>
      </c>
      <c r="D4" s="2">
        <v>4000</v>
      </c>
      <c r="E4" s="3">
        <v>5</v>
      </c>
      <c r="F4" s="1" t="str">
        <f>IF(Table2[[#This Row],[EXP_YEARS]]&gt;=3,"Yes","No")</f>
        <v>Yes</v>
      </c>
    </row>
    <row r="5" spans="1:9" x14ac:dyDescent="0.35">
      <c r="A5" t="s">
        <v>5</v>
      </c>
      <c r="B5" s="1">
        <v>23</v>
      </c>
      <c r="C5" s="1" t="s">
        <v>15</v>
      </c>
      <c r="D5" s="2">
        <v>1000</v>
      </c>
      <c r="E5" s="3">
        <v>1</v>
      </c>
      <c r="F5" s="1" t="str">
        <f>IF(Table2[[#This Row],[EXP_YEARS]]&gt;=3,"Yes","No")</f>
        <v>No</v>
      </c>
    </row>
    <row r="6" spans="1:9" x14ac:dyDescent="0.35">
      <c r="A6" t="s">
        <v>6</v>
      </c>
      <c r="B6" s="1">
        <v>27</v>
      </c>
      <c r="C6" s="1" t="s">
        <v>15</v>
      </c>
      <c r="D6" s="2">
        <v>2500</v>
      </c>
      <c r="E6" s="3">
        <v>2</v>
      </c>
      <c r="F6" s="1" t="str">
        <f>IF(Table2[[#This Row],[EXP_YEARS]]&gt;=3,"Yes","No")</f>
        <v>No</v>
      </c>
    </row>
    <row r="7" spans="1:9" x14ac:dyDescent="0.35">
      <c r="A7" t="s">
        <v>7</v>
      </c>
      <c r="B7" s="1">
        <v>35</v>
      </c>
      <c r="C7" s="1" t="s">
        <v>15</v>
      </c>
      <c r="D7" s="2">
        <v>5000</v>
      </c>
      <c r="E7" s="3">
        <v>5</v>
      </c>
      <c r="F7" s="1" t="str">
        <f>IF(Table2[[#This Row],[EXP_YEARS]]&gt;=3,"Yes","No")</f>
        <v>Yes</v>
      </c>
    </row>
    <row r="8" spans="1:9" x14ac:dyDescent="0.35">
      <c r="A8" t="s">
        <v>8</v>
      </c>
      <c r="B8" s="1">
        <v>30</v>
      </c>
      <c r="C8" s="1" t="s">
        <v>15</v>
      </c>
      <c r="D8" s="2">
        <v>6500</v>
      </c>
      <c r="E8" s="3">
        <v>6</v>
      </c>
      <c r="F8" s="1" t="str">
        <f>IF(Table2[[#This Row],[EXP_YEARS]]&gt;=3,"Yes","No")</f>
        <v>Yes</v>
      </c>
    </row>
    <row r="9" spans="1:9" x14ac:dyDescent="0.35">
      <c r="A9" t="s">
        <v>9</v>
      </c>
      <c r="B9" s="1">
        <v>20</v>
      </c>
      <c r="C9" s="1" t="s">
        <v>16</v>
      </c>
      <c r="D9" s="2">
        <v>2100</v>
      </c>
      <c r="E9" s="3">
        <v>3</v>
      </c>
      <c r="F9" s="1" t="str">
        <f>IF(Table2[[#This Row],[EXP_YEARS]]&gt;=3,"Yes","No")</f>
        <v>Yes</v>
      </c>
    </row>
    <row r="10" spans="1:9" x14ac:dyDescent="0.35">
      <c r="A10" t="s">
        <v>10</v>
      </c>
      <c r="B10" s="1">
        <v>33</v>
      </c>
      <c r="C10" s="1" t="s">
        <v>16</v>
      </c>
      <c r="D10" s="2">
        <v>6000</v>
      </c>
      <c r="E10" s="3">
        <v>7</v>
      </c>
      <c r="F10" s="1" t="str">
        <f>IF(Table2[[#This Row],[EXP_YEARS]]&gt;=3,"Yes","No")</f>
        <v>Yes</v>
      </c>
    </row>
    <row r="11" spans="1:9" x14ac:dyDescent="0.35">
      <c r="A11" t="s">
        <v>11</v>
      </c>
      <c r="B11" s="1">
        <v>29</v>
      </c>
      <c r="C11" s="1" t="s">
        <v>16</v>
      </c>
      <c r="D11" s="2">
        <v>1000</v>
      </c>
      <c r="E11" s="3">
        <v>1</v>
      </c>
      <c r="F11" s="1" t="str">
        <f>IF(Table2[[#This Row],[EXP_YEARS]]&gt;=3,"Yes","No")</f>
        <v>No</v>
      </c>
    </row>
    <row r="13" spans="1:9" x14ac:dyDescent="0.35">
      <c r="A13" t="s">
        <v>13</v>
      </c>
      <c r="C13" t="s">
        <v>14</v>
      </c>
      <c r="D13" t="s">
        <v>19</v>
      </c>
      <c r="E13" t="s">
        <v>18</v>
      </c>
    </row>
    <row r="14" spans="1:9" x14ac:dyDescent="0.35">
      <c r="A14" t="str">
        <f>PROPER(A2)</f>
        <v>Ali</v>
      </c>
      <c r="C14" t="s">
        <v>15</v>
      </c>
      <c r="D14" t="s">
        <v>21</v>
      </c>
      <c r="E14">
        <f>COUNTIFS(Table2[SEX],C14,Table2[EXP&gt;3],D14)</f>
        <v>2</v>
      </c>
    </row>
    <row r="15" spans="1:9" x14ac:dyDescent="0.35">
      <c r="A15" t="str">
        <f>PROPER(A3)</f>
        <v>Aisha</v>
      </c>
      <c r="C15" t="s">
        <v>15</v>
      </c>
      <c r="D15" t="s">
        <v>22</v>
      </c>
      <c r="E15">
        <f>COUNTIFS(Table2[SEX],C15,Table2[EXP&gt;3],D15)</f>
        <v>3</v>
      </c>
    </row>
    <row r="16" spans="1:9" x14ac:dyDescent="0.35">
      <c r="A16" t="str">
        <f>PROPER(A4)</f>
        <v>Halima</v>
      </c>
      <c r="C16" t="s">
        <v>16</v>
      </c>
      <c r="D16" t="s">
        <v>21</v>
      </c>
      <c r="E16">
        <f>COUNTIFS(Table2[SEX],C16,Table2[EXP&gt;3],D16)</f>
        <v>4</v>
      </c>
    </row>
    <row r="17" spans="1:5" x14ac:dyDescent="0.35">
      <c r="A17" t="str">
        <f>PROPER(A5)</f>
        <v>Warsame</v>
      </c>
      <c r="C17" t="s">
        <v>16</v>
      </c>
      <c r="D17" t="s">
        <v>22</v>
      </c>
      <c r="E17">
        <f>COUNTIFS(Table2[SEX],C17,Table2[EXP&gt;3],D17)</f>
        <v>1</v>
      </c>
    </row>
    <row r="18" spans="1:5" x14ac:dyDescent="0.35">
      <c r="A18" t="str">
        <f>PROPER(A6)</f>
        <v>Hassan</v>
      </c>
    </row>
    <row r="19" spans="1:5" x14ac:dyDescent="0.35">
      <c r="A19" t="str">
        <f>PROPER(A7)</f>
        <v>Mohammed</v>
      </c>
    </row>
    <row r="20" spans="1:5" x14ac:dyDescent="0.35">
      <c r="A20" t="str">
        <f>PROPER(A8)</f>
        <v>Ahmed</v>
      </c>
    </row>
    <row r="21" spans="1:5" x14ac:dyDescent="0.35">
      <c r="A21" t="str">
        <f>PROPER(A9)</f>
        <v>Seinab</v>
      </c>
    </row>
    <row r="22" spans="1:5" x14ac:dyDescent="0.35">
      <c r="A22" t="str">
        <f>PROPER(A10)</f>
        <v>Hamda</v>
      </c>
    </row>
    <row r="23" spans="1:5" x14ac:dyDescent="0.35">
      <c r="A23" t="str">
        <f>PROPER(A11)</f>
        <v>Sundus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2026-07-09T20:46:18Z</dcterms:created>
  <dcterms:modified xsi:type="dcterms:W3CDTF">2026-07-09T21:28:29Z</dcterms:modified>
</cp:coreProperties>
</file>
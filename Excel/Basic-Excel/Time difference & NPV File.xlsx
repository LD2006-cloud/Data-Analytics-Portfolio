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C24" i="1"/>
  <c r="C23" i="1"/>
  <c r="C22" i="1"/>
  <c r="D19" i="1"/>
  <c r="D18" i="1"/>
  <c r="G14" i="1"/>
  <c r="G13" i="1"/>
  <c r="G12" i="1"/>
  <c r="G7" i="1" l="1"/>
  <c r="G8" i="1" s="1"/>
  <c r="G9" i="1" s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<sst xmlns="http://schemas.openxmlformats.org/spreadsheetml/2006/main" count="46" uniqueCount="29">
  <si>
    <t>Employee</t>
  </si>
  <si>
    <t>Start time</t>
  </si>
  <si>
    <t>End time</t>
  </si>
  <si>
    <t>Hours Worked</t>
  </si>
  <si>
    <t>Ahmed</t>
  </si>
  <si>
    <t>Hussein</t>
  </si>
  <si>
    <t>Awil</t>
  </si>
  <si>
    <t>Aisha</t>
  </si>
  <si>
    <t>Yasin</t>
  </si>
  <si>
    <t>Shukri</t>
  </si>
  <si>
    <t>Shafici</t>
  </si>
  <si>
    <t>Moha</t>
  </si>
  <si>
    <t>Ayoub</t>
  </si>
  <si>
    <t>Seconds</t>
  </si>
  <si>
    <t>Conversion number</t>
  </si>
  <si>
    <t>Minutes</t>
  </si>
  <si>
    <t>Hours</t>
  </si>
  <si>
    <t>Time Between</t>
  </si>
  <si>
    <t>Calculate the Time Difference</t>
  </si>
  <si>
    <t>Time</t>
  </si>
  <si>
    <t>Time 1</t>
  </si>
  <si>
    <t>Time 2</t>
  </si>
  <si>
    <t>Time Difference</t>
  </si>
  <si>
    <t>NPV</t>
  </si>
  <si>
    <t>YEARS</t>
  </si>
  <si>
    <t>CASH FLOW</t>
  </si>
  <si>
    <t>Discount Rate</t>
  </si>
  <si>
    <t>SUCCESSFUL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</si>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</sst>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[$-F400]h:mm:ss\ AM/PM"/>
    <numFmt numFmtId="165" formatCode="[h]:mm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0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/>
    <xf numFmtId="1" fontId="0" fillId="0" borderId="1" xfId="0" applyNumberFormat="1" applyBorder="1"/>
    <xf numFmtId="0" fontId="0" fillId="6" borderId="1" xfId="0" applyFill="1" applyBorder="1"/>
    <xf numFmtId="0" fontId="0" fillId="7" borderId="1" xfId="0" applyFill="1" applyBorder="1" applyAlignment="1"/>
    <xf numFmtId="0" fontId="0" fillId="0" borderId="1" xfId="0" applyBorder="1"/>
    <xf numFmtId="0" fontId="0" fillId="7" borderId="1" xfId="0" applyFill="1" applyBorder="1"/>
    <xf numFmtId="0" fontId="0" fillId="6" borderId="0" xfId="0" applyFill="1" applyBorder="1"/>
    <xf numFmtId="0" fontId="0" fillId="0" borderId="0" xfId="0" applyBorder="1"/>
    <xf numFmtId="0" fontId="0" fillId="3" borderId="0" xfId="0" applyFill="1" applyBorder="1"/>
    <xf numFmtId="0" fontId="0" fillId="2" borderId="0" xfId="0" applyFill="1" applyBorder="1"/>
    <xf numFmtId="20" fontId="0" fillId="0" borderId="0" xfId="0" applyNumberFormat="1" applyBorder="1"/>
    <xf numFmtId="1" fontId="0" fillId="0" borderId="0" xfId="0" applyNumberFormat="1" applyBorder="1"/>
    <xf numFmtId="0" fontId="0" fillId="0" borderId="2" xfId="0" applyBorder="1"/>
    <xf numFmtId="0" fontId="0" fillId="0" borderId="3" xfId="0" applyBorder="1"/>
    <xf numFmtId="0" fontId="0" fillId="7" borderId="0" xfId="0" applyFill="1" applyBorder="1" applyAlignment="1"/>
    <xf numFmtId="0" fontId="0" fillId="7" borderId="0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8" borderId="7" xfId="0" applyFill="1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9" fontId="0" fillId="0" borderId="0" xfId="0" applyNumberFormat="1"/>
    <xf numFmtId="0" fontId="2" fillId="8" borderId="1" xfId="0" applyFont="1" applyFill="1" applyBorder="1"/>
    <xf numFmtId="8" fontId="0" fillId="0" borderId="0" xfId="0" applyNumberFormat="1"/>
    <xf numFmtId="0" fontId="0" fillId="8" borderId="0" xfId="0" applyFill="1"/>
  </cellXfs>
  <cellStyles count="1">
    <cellStyle name="Normal" xfId="0" builtinId="0"/>
  </cellStyles>
  <dxfs count="4">
    <dxf>
      <numFmt numFmtId="165" formatCode="[h]:mm"/>
      <alignment horizontal="righ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" totalsRowShown="0" headerRowDxfId="3">
  <autoFilter ref="A1:D11"/>
  <tableColumns count="4">
    <tableColumn id="1" name="Employee"/>
    <tableColumn id="2" name="Start time" dataDxfId="2"/>
    <tableColumn id="3" name="End time" dataDxfId="1"/>
    <tableColumn id="4" name="Hours Worked" dataDxfId="0">
      <calculatedColumnFormula>C2-B2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28" zoomScale="70" zoomScaleNormal="70" workbookViewId="0">
      <selection activeCell="H37" sqref="H37"/>
    </sheetView>
  </sheetViews>
  <sheetFormatPr defaultRowHeight="14.5" x14ac:dyDescent="0.35"/>
  <cols>
    <col min="1" max="1" width="11.81640625" customWidth="1"/>
    <col min="2" max="2" width="12.08984375" customWidth="1"/>
    <col min="3" max="3" width="13.6328125" customWidth="1"/>
    <col min="4" max="4" width="14.81640625" customWidth="1"/>
    <col min="5" max="5" width="9.453125" bestFit="1" customWidth="1"/>
    <col min="6" max="6" width="16.6328125" customWidth="1"/>
    <col min="7" max="7" width="17.453125" customWidth="1"/>
    <col min="10" max="10" width="13.6328125" customWidth="1"/>
  </cols>
  <sheetData>
    <row r="1" spans="1:14" ht="15.5" x14ac:dyDescent="0.35">
      <c r="A1" s="1" t="s">
        <v>0</v>
      </c>
      <c r="B1" s="2" t="s">
        <v>1</v>
      </c>
      <c r="C1" s="1" t="s">
        <v>2</v>
      </c>
      <c r="D1" s="1" t="s">
        <v>3</v>
      </c>
      <c r="G1" s="14" t="s">
        <v>14</v>
      </c>
      <c r="H1" s="15">
        <v>86400</v>
      </c>
    </row>
    <row r="2" spans="1:14" x14ac:dyDescent="0.35">
      <c r="A2" t="s">
        <v>4</v>
      </c>
      <c r="B2" s="4">
        <v>0.33333333333333331</v>
      </c>
      <c r="C2" s="4">
        <v>0.6875</v>
      </c>
      <c r="D2" s="5">
        <f>C2-B2</f>
        <v>0.35416666666666669</v>
      </c>
      <c r="G2" s="16" t="s">
        <v>15</v>
      </c>
      <c r="H2" s="15">
        <v>60</v>
      </c>
    </row>
    <row r="3" spans="1:14" x14ac:dyDescent="0.35">
      <c r="A3" t="s">
        <v>7</v>
      </c>
      <c r="B3" s="4">
        <v>0.375</v>
      </c>
      <c r="C3" s="4">
        <v>0.83333333333333337</v>
      </c>
      <c r="D3" s="5">
        <f t="shared" ref="D3:D11" si="0">C3-B3</f>
        <v>0.45833333333333337</v>
      </c>
      <c r="G3" s="16" t="s">
        <v>16</v>
      </c>
      <c r="H3" s="15">
        <v>60</v>
      </c>
    </row>
    <row r="4" spans="1:14" x14ac:dyDescent="0.35">
      <c r="A4" t="s">
        <v>6</v>
      </c>
      <c r="B4" s="4">
        <v>0.41666666666666669</v>
      </c>
      <c r="C4" s="4">
        <v>0.75</v>
      </c>
      <c r="D4" s="5">
        <f t="shared" si="0"/>
        <v>0.33333333333333331</v>
      </c>
    </row>
    <row r="5" spans="1:14" x14ac:dyDescent="0.35">
      <c r="A5" t="s">
        <v>12</v>
      </c>
      <c r="B5" s="4">
        <v>0.34375</v>
      </c>
      <c r="C5" s="4">
        <v>0.70833333333333337</v>
      </c>
      <c r="D5" s="5">
        <f t="shared" si="0"/>
        <v>0.36458333333333337</v>
      </c>
    </row>
    <row r="6" spans="1:14" x14ac:dyDescent="0.35">
      <c r="A6" t="s">
        <v>5</v>
      </c>
      <c r="B6" s="4">
        <v>0.29166666666666669</v>
      </c>
      <c r="C6" s="4">
        <v>0.5</v>
      </c>
      <c r="D6" s="5">
        <f t="shared" si="0"/>
        <v>0.20833333333333331</v>
      </c>
      <c r="F6" t="s">
        <v>4</v>
      </c>
      <c r="G6" s="11" t="s">
        <v>17</v>
      </c>
    </row>
    <row r="7" spans="1:14" x14ac:dyDescent="0.35">
      <c r="A7" t="s">
        <v>5</v>
      </c>
      <c r="B7" s="4">
        <v>0.39583333333333331</v>
      </c>
      <c r="C7" s="4">
        <v>0.72916666666666663</v>
      </c>
      <c r="D7" s="5">
        <f t="shared" si="0"/>
        <v>0.33333333333333331</v>
      </c>
      <c r="F7" s="13" t="s">
        <v>13</v>
      </c>
      <c r="G7" s="12">
        <f>B2*H1</f>
        <v>28800</v>
      </c>
    </row>
    <row r="8" spans="1:14" x14ac:dyDescent="0.35">
      <c r="A8" t="s">
        <v>11</v>
      </c>
      <c r="B8" s="4">
        <v>0.35416666666666669</v>
      </c>
      <c r="C8" s="4">
        <v>0.6875</v>
      </c>
      <c r="D8" s="5">
        <f t="shared" si="0"/>
        <v>0.33333333333333331</v>
      </c>
      <c r="F8" s="13" t="s">
        <v>15</v>
      </c>
      <c r="G8" s="12">
        <f>G7/H2</f>
        <v>480</v>
      </c>
    </row>
    <row r="9" spans="1:14" x14ac:dyDescent="0.35">
      <c r="A9" t="s">
        <v>10</v>
      </c>
      <c r="B9" s="4">
        <v>0.27083333333333331</v>
      </c>
      <c r="C9" s="4">
        <v>0.54166666666666663</v>
      </c>
      <c r="D9" s="5">
        <f t="shared" si="0"/>
        <v>0.27083333333333331</v>
      </c>
      <c r="F9" s="13" t="s">
        <v>16</v>
      </c>
      <c r="G9" s="12">
        <f>G8/H3</f>
        <v>8</v>
      </c>
      <c r="N9" s="6"/>
    </row>
    <row r="10" spans="1:14" x14ac:dyDescent="0.35">
      <c r="A10" t="s">
        <v>9</v>
      </c>
      <c r="B10" s="4">
        <v>0.29166666666666669</v>
      </c>
      <c r="C10" s="4">
        <v>0.52083333333333337</v>
      </c>
      <c r="D10" s="5">
        <f t="shared" si="0"/>
        <v>0.22916666666666669</v>
      </c>
      <c r="N10" s="6"/>
    </row>
    <row r="11" spans="1:14" x14ac:dyDescent="0.35">
      <c r="A11" t="s">
        <v>8</v>
      </c>
      <c r="B11" s="4">
        <v>0.4375</v>
      </c>
      <c r="C11" s="4">
        <v>0.875</v>
      </c>
      <c r="D11" s="5">
        <f t="shared" si="0"/>
        <v>0.4375</v>
      </c>
      <c r="F11" t="s">
        <v>7</v>
      </c>
      <c r="G11" s="11" t="s">
        <v>17</v>
      </c>
    </row>
    <row r="12" spans="1:14" x14ac:dyDescent="0.35">
      <c r="B12" s="3"/>
      <c r="C12" s="3"/>
      <c r="F12" s="17" t="s">
        <v>13</v>
      </c>
      <c r="G12" s="7">
        <f>D3*H1</f>
        <v>39600</v>
      </c>
    </row>
    <row r="13" spans="1:14" x14ac:dyDescent="0.35">
      <c r="F13" s="17" t="s">
        <v>15</v>
      </c>
      <c r="G13">
        <f>G12/H2</f>
        <v>660</v>
      </c>
    </row>
    <row r="14" spans="1:14" x14ac:dyDescent="0.35">
      <c r="F14" s="17" t="s">
        <v>16</v>
      </c>
      <c r="G14">
        <f>G13/H3</f>
        <v>11</v>
      </c>
    </row>
    <row r="16" spans="1:14" x14ac:dyDescent="0.35">
      <c r="A16" s="27"/>
      <c r="B16" s="28"/>
      <c r="C16" s="28"/>
      <c r="D16" s="28"/>
      <c r="E16" s="28"/>
      <c r="F16" s="28"/>
      <c r="G16" s="28"/>
      <c r="H16" s="29"/>
    </row>
    <row r="17" spans="1:8" ht="43.5" x14ac:dyDescent="0.35">
      <c r="A17" s="30" t="s">
        <v>18</v>
      </c>
      <c r="B17" s="18"/>
      <c r="C17" s="19" t="s">
        <v>19</v>
      </c>
      <c r="D17" s="19" t="s">
        <v>13</v>
      </c>
      <c r="E17" s="18"/>
      <c r="F17" s="25" t="s">
        <v>14</v>
      </c>
      <c r="G17" s="18">
        <v>86400</v>
      </c>
      <c r="H17" s="31"/>
    </row>
    <row r="18" spans="1:8" x14ac:dyDescent="0.35">
      <c r="A18" s="32"/>
      <c r="B18" s="20" t="s">
        <v>20</v>
      </c>
      <c r="C18" s="21">
        <v>0.22916666666666666</v>
      </c>
      <c r="D18" s="22">
        <f>G17*C18</f>
        <v>19800</v>
      </c>
      <c r="E18" s="18"/>
      <c r="F18" s="26" t="s">
        <v>15</v>
      </c>
      <c r="G18" s="18">
        <v>60</v>
      </c>
      <c r="H18" s="31"/>
    </row>
    <row r="19" spans="1:8" x14ac:dyDescent="0.35">
      <c r="A19" s="32"/>
      <c r="B19" s="20" t="s">
        <v>21</v>
      </c>
      <c r="C19" s="21">
        <v>0.4375</v>
      </c>
      <c r="D19" s="22">
        <f>G17*C19</f>
        <v>37800</v>
      </c>
      <c r="E19" s="18"/>
      <c r="F19" s="26" t="s">
        <v>16</v>
      </c>
      <c r="G19" s="18">
        <v>60</v>
      </c>
      <c r="H19" s="31"/>
    </row>
    <row r="20" spans="1:8" x14ac:dyDescent="0.35">
      <c r="A20" s="32"/>
      <c r="B20" s="18"/>
      <c r="C20" s="18"/>
      <c r="D20" s="18"/>
      <c r="E20" s="18"/>
      <c r="F20" s="18"/>
      <c r="G20" s="18"/>
      <c r="H20" s="31"/>
    </row>
    <row r="21" spans="1:8" x14ac:dyDescent="0.35">
      <c r="A21" s="32"/>
      <c r="B21" s="18"/>
      <c r="C21" s="19" t="s">
        <v>22</v>
      </c>
      <c r="D21" s="18"/>
      <c r="E21" s="18"/>
      <c r="F21" s="18"/>
      <c r="G21" s="18"/>
      <c r="H21" s="31"/>
    </row>
    <row r="22" spans="1:8" x14ac:dyDescent="0.35">
      <c r="A22" s="32"/>
      <c r="B22" s="20" t="s">
        <v>13</v>
      </c>
      <c r="C22" s="22">
        <f>D19-D18</f>
        <v>18000</v>
      </c>
      <c r="D22" s="18"/>
      <c r="E22" s="18"/>
      <c r="F22" s="18"/>
      <c r="G22" s="18"/>
      <c r="H22" s="31"/>
    </row>
    <row r="23" spans="1:8" x14ac:dyDescent="0.35">
      <c r="A23" s="32"/>
      <c r="B23" s="20" t="s">
        <v>15</v>
      </c>
      <c r="C23" s="18">
        <f>C22/G18</f>
        <v>300</v>
      </c>
      <c r="D23" s="18"/>
      <c r="E23" s="18"/>
      <c r="F23" s="18"/>
      <c r="G23" s="18"/>
      <c r="H23" s="31"/>
    </row>
    <row r="24" spans="1:8" x14ac:dyDescent="0.35">
      <c r="A24" s="32"/>
      <c r="B24" s="20" t="s">
        <v>16</v>
      </c>
      <c r="C24" s="18">
        <f>C23/G19</f>
        <v>5</v>
      </c>
      <c r="D24" s="18"/>
      <c r="E24" s="18"/>
      <c r="F24" s="18"/>
      <c r="G24" s="18"/>
      <c r="H24" s="31"/>
    </row>
    <row r="25" spans="1:8" x14ac:dyDescent="0.35">
      <c r="A25" s="32"/>
      <c r="B25" s="18"/>
      <c r="C25" s="18"/>
      <c r="D25" s="18"/>
      <c r="E25" s="18"/>
      <c r="F25" s="18"/>
      <c r="G25" s="18"/>
      <c r="H25" s="31"/>
    </row>
    <row r="26" spans="1:8" x14ac:dyDescent="0.35">
      <c r="A26" s="33"/>
      <c r="B26" s="24"/>
      <c r="C26" s="24"/>
      <c r="D26" s="24"/>
      <c r="E26" s="24"/>
      <c r="F26" s="24"/>
      <c r="G26" s="24"/>
      <c r="H26" s="34"/>
    </row>
    <row r="30" spans="1:8" x14ac:dyDescent="0.35">
      <c r="A30" s="23"/>
    </row>
    <row r="31" spans="1:8" ht="18.5" x14ac:dyDescent="0.45">
      <c r="A31" s="36" t="s">
        <v>23</v>
      </c>
    </row>
    <row r="33" spans="1:11" x14ac:dyDescent="0.35">
      <c r="A33" s="10" t="s">
        <v>24</v>
      </c>
      <c r="B33" s="8">
        <v>1</v>
      </c>
      <c r="C33" s="8">
        <v>2</v>
      </c>
      <c r="D33" s="8">
        <v>3</v>
      </c>
      <c r="E33" s="8">
        <v>4</v>
      </c>
      <c r="F33" s="8">
        <v>5</v>
      </c>
      <c r="G33" s="8">
        <v>6</v>
      </c>
      <c r="H33" s="8">
        <v>7</v>
      </c>
      <c r="I33" s="8">
        <v>8</v>
      </c>
      <c r="J33" s="8">
        <v>9</v>
      </c>
      <c r="K33" s="8">
        <v>10</v>
      </c>
    </row>
    <row r="34" spans="1:11" x14ac:dyDescent="0.35">
      <c r="A34" s="10" t="s">
        <v>25</v>
      </c>
      <c r="B34">
        <v>10</v>
      </c>
      <c r="C34">
        <v>100</v>
      </c>
      <c r="D34">
        <v>250</v>
      </c>
      <c r="E34">
        <v>300</v>
      </c>
      <c r="F34">
        <v>450</v>
      </c>
      <c r="G34">
        <v>500</v>
      </c>
      <c r="H34">
        <v>600</v>
      </c>
      <c r="I34">
        <v>630</v>
      </c>
      <c r="J34">
        <v>700</v>
      </c>
      <c r="K34">
        <v>790</v>
      </c>
    </row>
    <row r="37" spans="1:11" x14ac:dyDescent="0.35">
      <c r="A37" s="9" t="s">
        <v>26</v>
      </c>
      <c r="B37" s="35">
        <v>0.1</v>
      </c>
      <c r="D37" s="9" t="s">
        <v>23</v>
      </c>
      <c r="E37" s="37">
        <f>NPV(B37,B34:K34)</f>
        <v>2249.3618864091313</v>
      </c>
    </row>
    <row r="38" spans="1:11" x14ac:dyDescent="0.35">
      <c r="F38" s="38" t="s">
        <v>27</v>
      </c>
    </row>
    <row r="39" spans="1:11" x14ac:dyDescent="0.35">
      <c r="F39" s="38" t="s">
        <v>28</v>
      </c>
    </row>
  </sheetData>
  <sortState ref="A2:D11"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2026-07-10T10:34:19Z</dcterms:created>
  <dcterms:modified xsi:type="dcterms:W3CDTF">2026-07-10T20:10:37Z</dcterms:modified>
</cp:coreProperties>
</file>
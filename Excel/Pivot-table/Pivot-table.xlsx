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6640" activeTab="1"/>
  </bookViews>
  <sheets>
    <sheet name="Sheet6" sheetId="6" r:id="rId1"/>
    <sheet name="Sheet10" sheetId="10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</calcChain>
</file>

<file path=xl/sharedStrings.xml><?xml version="1.0" encoding="utf-8"?>
<sst xmlns="http://schemas.openxmlformats.org/spreadsheetml/2006/main" count="113" uniqueCount="25">
  <si>
    <t>Bosaso</t>
  </si>
  <si>
    <t>Mogadishu</t>
  </si>
  <si>
    <t>Garowe</t>
  </si>
  <si>
    <t>Hargaisa</t>
  </si>
  <si>
    <t>Row Labels</t>
  </si>
  <si>
    <t>Grand Total</t>
  </si>
  <si>
    <t>DATE</t>
  </si>
  <si>
    <t>SALES-PERSON</t>
  </si>
  <si>
    <t>REGION</t>
  </si>
  <si>
    <t>PRODUCTS</t>
  </si>
  <si>
    <t>QUANTITY SOLD</t>
  </si>
  <si>
    <t>SALES AMOUNT</t>
  </si>
  <si>
    <t>Ahmed</t>
  </si>
  <si>
    <t>Aisha</t>
  </si>
  <si>
    <t>Ladan</t>
  </si>
  <si>
    <t>Shirwac</t>
  </si>
  <si>
    <t>Ali</t>
  </si>
  <si>
    <t>Laptop HP</t>
  </si>
  <si>
    <t>Charger HP</t>
  </si>
  <si>
    <t>Mouse</t>
  </si>
  <si>
    <t>Phone</t>
  </si>
  <si>
    <t>Sum of SALES AMOUNT</t>
  </si>
  <si>
    <t>PRICE PER UNIT</t>
  </si>
  <si>
    <t>(All)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</si>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</sst>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/>
    <xf numFmtId="14" fontId="1" fillId="0" borderId="0" xfId="0" applyNumberFormat="1" applyFont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3" fontId="0" fillId="2" borderId="0" xfId="0" applyNumberFormat="1" applyFill="1"/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9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14.398321412038" createdVersion="6" refreshedVersion="6" minRefreshableVersion="3" recordCount="25">
  <cacheSource type="worksheet">
    <worksheetSource name="Table4"/>
  </cacheSource>
  <cacheFields count="7">
    <cacheField name="DATE" numFmtId="14">
      <sharedItems containsSemiMixedTypes="0" containsNonDate="0" containsDate="1" containsString="0" minDate="2026-01-01T00:00:00" maxDate="2026-01-26T00:00:00" count="2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</sharedItems>
    </cacheField>
    <cacheField name="SALES-PERSON" numFmtId="0">
      <sharedItems count="5">
        <s v="Ahmed"/>
        <s v="Aisha"/>
        <s v="Ladan"/>
        <s v="Shirwac"/>
        <s v="Ali"/>
      </sharedItems>
    </cacheField>
    <cacheField name="REGION" numFmtId="0">
      <sharedItems count="4">
        <s v="Mogadishu"/>
        <s v="Garowe"/>
        <s v="Hargaisa"/>
        <s v="Bosaso"/>
      </sharedItems>
    </cacheField>
    <cacheField name="PRODUCTS" numFmtId="0">
      <sharedItems containsBlank="1" count="5">
        <s v="Laptop HP"/>
        <s v="Charger HP"/>
        <s v="Mouse"/>
        <s v="Phone"/>
        <m u="1"/>
      </sharedItems>
    </cacheField>
    <cacheField name="PRICE PER UNIT" numFmtId="164">
      <sharedItems containsSemiMixedTypes="0" containsString="0" containsNumber="1" containsInteger="1" minValue="200" maxValue="999"/>
    </cacheField>
    <cacheField name="QUANTITY SOLD" numFmtId="0">
      <sharedItems containsSemiMixedTypes="0" containsString="0" containsNumber="1" containsInteger="1" minValue="3" maxValue="18"/>
    </cacheField>
    <cacheField name="SALES AMOUNT" numFmtId="164">
      <sharedItems containsSemiMixedTypes="0" containsString="0" containsNumber="1" containsInteger="1" minValue="932" maxValue="17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n v="200"/>
    <n v="12"/>
    <n v="2400"/>
  </r>
  <r>
    <x v="1"/>
    <x v="1"/>
    <x v="0"/>
    <x v="1"/>
    <n v="324"/>
    <n v="9"/>
    <n v="2916"/>
  </r>
  <r>
    <x v="2"/>
    <x v="2"/>
    <x v="0"/>
    <x v="0"/>
    <n v="564"/>
    <n v="11"/>
    <n v="6204"/>
  </r>
  <r>
    <x v="3"/>
    <x v="2"/>
    <x v="1"/>
    <x v="0"/>
    <n v="753"/>
    <n v="4"/>
    <n v="3012"/>
  </r>
  <r>
    <x v="4"/>
    <x v="0"/>
    <x v="2"/>
    <x v="2"/>
    <n v="455"/>
    <n v="13"/>
    <n v="5915"/>
  </r>
  <r>
    <x v="5"/>
    <x v="1"/>
    <x v="1"/>
    <x v="0"/>
    <n v="323"/>
    <n v="10"/>
    <n v="3230"/>
  </r>
  <r>
    <x v="6"/>
    <x v="1"/>
    <x v="1"/>
    <x v="0"/>
    <n v="787"/>
    <n v="7"/>
    <n v="5509"/>
  </r>
  <r>
    <x v="7"/>
    <x v="0"/>
    <x v="2"/>
    <x v="2"/>
    <n v="456"/>
    <n v="7"/>
    <n v="3192"/>
  </r>
  <r>
    <x v="8"/>
    <x v="0"/>
    <x v="3"/>
    <x v="1"/>
    <n v="786"/>
    <n v="11"/>
    <n v="8646"/>
  </r>
  <r>
    <x v="9"/>
    <x v="3"/>
    <x v="1"/>
    <x v="0"/>
    <n v="999"/>
    <n v="14"/>
    <n v="13986"/>
  </r>
  <r>
    <x v="10"/>
    <x v="2"/>
    <x v="3"/>
    <x v="0"/>
    <n v="817"/>
    <n v="8"/>
    <n v="6536"/>
  </r>
  <r>
    <x v="11"/>
    <x v="3"/>
    <x v="3"/>
    <x v="2"/>
    <n v="453"/>
    <n v="8"/>
    <n v="3624"/>
  </r>
  <r>
    <x v="12"/>
    <x v="3"/>
    <x v="3"/>
    <x v="2"/>
    <n v="233"/>
    <n v="4"/>
    <n v="932"/>
  </r>
  <r>
    <x v="13"/>
    <x v="3"/>
    <x v="3"/>
    <x v="3"/>
    <n v="766"/>
    <n v="11"/>
    <n v="8426"/>
  </r>
  <r>
    <x v="14"/>
    <x v="1"/>
    <x v="2"/>
    <x v="3"/>
    <n v="977"/>
    <n v="18"/>
    <n v="17586"/>
  </r>
  <r>
    <x v="15"/>
    <x v="1"/>
    <x v="2"/>
    <x v="3"/>
    <n v="666"/>
    <n v="15"/>
    <n v="9990"/>
  </r>
  <r>
    <x v="16"/>
    <x v="0"/>
    <x v="2"/>
    <x v="3"/>
    <n v="344"/>
    <n v="15"/>
    <n v="5160"/>
  </r>
  <r>
    <x v="17"/>
    <x v="4"/>
    <x v="1"/>
    <x v="2"/>
    <n v="865"/>
    <n v="3"/>
    <n v="2595"/>
  </r>
  <r>
    <x v="18"/>
    <x v="2"/>
    <x v="2"/>
    <x v="2"/>
    <n v="923"/>
    <n v="9"/>
    <n v="8307"/>
  </r>
  <r>
    <x v="19"/>
    <x v="4"/>
    <x v="0"/>
    <x v="2"/>
    <n v="234"/>
    <n v="12"/>
    <n v="2808"/>
  </r>
  <r>
    <x v="20"/>
    <x v="4"/>
    <x v="2"/>
    <x v="1"/>
    <n v="623"/>
    <n v="12"/>
    <n v="7476"/>
  </r>
  <r>
    <x v="21"/>
    <x v="4"/>
    <x v="3"/>
    <x v="3"/>
    <n v="981"/>
    <n v="11"/>
    <n v="10791"/>
  </r>
  <r>
    <x v="22"/>
    <x v="3"/>
    <x v="3"/>
    <x v="3"/>
    <n v="860"/>
    <n v="9"/>
    <n v="7740"/>
  </r>
  <r>
    <x v="23"/>
    <x v="3"/>
    <x v="0"/>
    <x v="1"/>
    <n v="642"/>
    <n v="10"/>
    <n v="6420"/>
  </r>
  <r>
    <x v="24"/>
    <x v="1"/>
    <x v="2"/>
    <x v="0"/>
    <n v="299"/>
    <n v="10"/>
    <n v="29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3:F25" firstHeaderRow="1" firstDataRow="2" firstDataCol="1" rowPageCount="1" colPageCount="1"/>
  <pivotFields count="7">
    <pivotField axis="axisPage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axis="axisRow" showAll="0">
      <items count="6">
        <item x="1"/>
        <item x="0"/>
        <item x="2"/>
        <item x="3"/>
        <item m="1" x="4"/>
        <item t="default"/>
      </items>
    </pivotField>
    <pivotField showAll="0"/>
    <pivotField showAll="0"/>
    <pivotField dataField="1" showAll="0"/>
  </pivotFields>
  <rowFields count="2">
    <field x="3"/>
    <field x="1"/>
  </rowFields>
  <rowItems count="21">
    <i>
      <x/>
    </i>
    <i r="1">
      <x/>
    </i>
    <i r="1">
      <x v="1"/>
    </i>
    <i r="1">
      <x v="2"/>
    </i>
    <i r="1">
      <x v="4"/>
    </i>
    <i>
      <x v="1"/>
    </i>
    <i r="1">
      <x/>
    </i>
    <i r="1">
      <x v="1"/>
    </i>
    <i r="1">
      <x v="3"/>
    </i>
    <i r="1">
      <x v="4"/>
    </i>
    <i>
      <x v="2"/>
    </i>
    <i r="1">
      <x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SALES AMOUNT" fld="6" baseField="0" baseItem="0" numFmtId="3"/>
  </dataFields>
  <formats count="8">
    <format dxfId="87">
      <pivotArea collapsedLevelsAreSubtotals="1" fieldPosition="0">
        <references count="1">
          <reference field="3" count="1">
            <x v="3"/>
          </reference>
        </references>
      </pivotArea>
    </format>
    <format dxfId="86">
      <pivotArea collapsedLevelsAreSubtotals="1" fieldPosition="0">
        <references count="2">
          <reference field="1" count="4">
            <x v="0"/>
            <x v="1"/>
            <x v="2"/>
            <x v="4"/>
          </reference>
          <reference field="3" count="1" selected="0">
            <x v="3"/>
          </reference>
        </references>
      </pivotArea>
    </format>
    <format dxfId="85">
      <pivotArea dataOnly="0" labelOnly="1" fieldPosition="0">
        <references count="1">
          <reference field="3" count="1">
            <x v="3"/>
          </reference>
        </references>
      </pivotArea>
    </format>
    <format dxfId="84">
      <pivotArea dataOnly="0" labelOnly="1" fieldPosition="0">
        <references count="2">
          <reference field="1" count="4">
            <x v="0"/>
            <x v="1"/>
            <x v="2"/>
            <x v="4"/>
          </reference>
          <reference field="3" count="1" selected="0">
            <x v="3"/>
          </reference>
        </references>
      </pivotArea>
    </format>
    <format dxfId="83">
      <pivotArea collapsedLevelsAreSubtotals="1" fieldPosition="0">
        <references count="1">
          <reference field="3" count="1">
            <x v="3"/>
          </reference>
        </references>
      </pivotArea>
    </format>
    <format dxfId="82">
      <pivotArea collapsedLevelsAreSubtotals="1" fieldPosition="0">
        <references count="2">
          <reference field="1" count="4">
            <x v="0"/>
            <x v="1"/>
            <x v="2"/>
            <x v="4"/>
          </reference>
          <reference field="3" count="1" selected="0">
            <x v="3"/>
          </reference>
        </references>
      </pivotArea>
    </format>
    <format dxfId="81">
      <pivotArea dataOnly="0" labelOnly="1" fieldPosition="0">
        <references count="1">
          <reference field="3" count="1">
            <x v="3"/>
          </reference>
        </references>
      </pivotArea>
    </format>
    <format dxfId="80">
      <pivotArea dataOnly="0" labelOnly="1" fieldPosition="0">
        <references count="2">
          <reference field="1" count="4">
            <x v="0"/>
            <x v="1"/>
            <x v="2"/>
            <x v="4"/>
          </reference>
          <reference field="3" count="1" selected="0">
            <x v="3"/>
          </reference>
        </references>
      </pivotArea>
    </format>
  </formats>
  <chartFormats count="4"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G26" totalsRowShown="0" headerRowDxfId="96" dataDxfId="95">
  <autoFilter ref="A1:G26"/>
  <tableColumns count="7">
    <tableColumn id="1" name="DATE" dataDxfId="94"/>
    <tableColumn id="2" name="SALES-PERSON" dataDxfId="93"/>
    <tableColumn id="3" name="REGION" dataDxfId="92"/>
    <tableColumn id="4" name="PRODUCTS" dataDxfId="91"/>
    <tableColumn id="7" name="PRICE PER UNIT" dataDxfId="90"/>
    <tableColumn id="6" name="QUANTITY SOLD" dataDxfId="89"/>
    <tableColumn id="8" name="SALES AMOUNT" dataDxfId="88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80" zoomScaleNormal="80" workbookViewId="0">
      <selection activeCell="G14" sqref="G14"/>
    </sheetView>
  </sheetViews>
  <sheetFormatPr defaultRowHeight="14.5" x14ac:dyDescent="0.35"/>
  <cols>
    <col min="1" max="1" width="10.81640625" style="1" customWidth="1"/>
    <col min="2" max="2" width="16.26953125" customWidth="1"/>
    <col min="3" max="3" width="10.453125" customWidth="1"/>
    <col min="4" max="4" width="12.81640625" customWidth="1"/>
    <col min="5" max="6" width="17.36328125" customWidth="1"/>
    <col min="7" max="7" width="17.54296875" customWidth="1"/>
    <col min="8" max="8" width="14.1796875" customWidth="1"/>
  </cols>
  <sheetData>
    <row r="1" spans="1:7" ht="15.5" x14ac:dyDescent="0.35">
      <c r="A1" s="4" t="s">
        <v>6</v>
      </c>
      <c r="B1" s="5" t="s">
        <v>7</v>
      </c>
      <c r="C1" s="5" t="s">
        <v>8</v>
      </c>
      <c r="D1" s="5" t="s">
        <v>9</v>
      </c>
      <c r="E1" s="5" t="s">
        <v>22</v>
      </c>
      <c r="F1" s="5" t="s">
        <v>10</v>
      </c>
      <c r="G1" s="5" t="s">
        <v>11</v>
      </c>
    </row>
    <row r="2" spans="1:7" x14ac:dyDescent="0.35">
      <c r="A2" s="7">
        <v>46023</v>
      </c>
      <c r="B2" s="3" t="s">
        <v>12</v>
      </c>
      <c r="C2" s="3" t="s">
        <v>1</v>
      </c>
      <c r="D2" s="3" t="s">
        <v>17</v>
      </c>
      <c r="E2" s="6">
        <v>200</v>
      </c>
      <c r="F2" s="3">
        <v>12</v>
      </c>
      <c r="G2" s="6">
        <f t="shared" ref="G2:G26" si="0">E2*F2</f>
        <v>2400</v>
      </c>
    </row>
    <row r="3" spans="1:7" x14ac:dyDescent="0.35">
      <c r="A3" s="7">
        <v>46024</v>
      </c>
      <c r="B3" s="3" t="s">
        <v>13</v>
      </c>
      <c r="C3" s="3" t="s">
        <v>1</v>
      </c>
      <c r="D3" s="3" t="s">
        <v>18</v>
      </c>
      <c r="E3" s="6">
        <v>324</v>
      </c>
      <c r="F3" s="3">
        <v>9</v>
      </c>
      <c r="G3" s="6">
        <f t="shared" si="0"/>
        <v>2916</v>
      </c>
    </row>
    <row r="4" spans="1:7" x14ac:dyDescent="0.35">
      <c r="A4" s="7">
        <v>46025</v>
      </c>
      <c r="B4" s="3" t="s">
        <v>14</v>
      </c>
      <c r="C4" s="3" t="s">
        <v>1</v>
      </c>
      <c r="D4" s="3" t="s">
        <v>17</v>
      </c>
      <c r="E4" s="6">
        <v>564</v>
      </c>
      <c r="F4" s="3">
        <v>11</v>
      </c>
      <c r="G4" s="6">
        <f t="shared" si="0"/>
        <v>6204</v>
      </c>
    </row>
    <row r="5" spans="1:7" x14ac:dyDescent="0.35">
      <c r="A5" s="7">
        <v>46026</v>
      </c>
      <c r="B5" s="3" t="s">
        <v>14</v>
      </c>
      <c r="C5" s="3" t="s">
        <v>2</v>
      </c>
      <c r="D5" s="3" t="s">
        <v>17</v>
      </c>
      <c r="E5" s="6">
        <v>753</v>
      </c>
      <c r="F5" s="3">
        <v>4</v>
      </c>
      <c r="G5" s="6">
        <f t="shared" si="0"/>
        <v>3012</v>
      </c>
    </row>
    <row r="6" spans="1:7" x14ac:dyDescent="0.35">
      <c r="A6" s="7">
        <v>46027</v>
      </c>
      <c r="B6" s="3" t="s">
        <v>12</v>
      </c>
      <c r="C6" s="3" t="s">
        <v>3</v>
      </c>
      <c r="D6" s="3" t="s">
        <v>19</v>
      </c>
      <c r="E6" s="6">
        <v>455</v>
      </c>
      <c r="F6" s="3">
        <v>13</v>
      </c>
      <c r="G6" s="6">
        <f t="shared" si="0"/>
        <v>5915</v>
      </c>
    </row>
    <row r="7" spans="1:7" x14ac:dyDescent="0.35">
      <c r="A7" s="7">
        <v>46028</v>
      </c>
      <c r="B7" s="3" t="s">
        <v>13</v>
      </c>
      <c r="C7" s="3" t="s">
        <v>2</v>
      </c>
      <c r="D7" s="3" t="s">
        <v>17</v>
      </c>
      <c r="E7" s="6">
        <v>323</v>
      </c>
      <c r="F7" s="3">
        <v>10</v>
      </c>
      <c r="G7" s="6">
        <f t="shared" si="0"/>
        <v>3230</v>
      </c>
    </row>
    <row r="8" spans="1:7" x14ac:dyDescent="0.35">
      <c r="A8" s="7">
        <v>46029</v>
      </c>
      <c r="B8" s="3" t="s">
        <v>13</v>
      </c>
      <c r="C8" s="3" t="s">
        <v>2</v>
      </c>
      <c r="D8" s="3" t="s">
        <v>17</v>
      </c>
      <c r="E8" s="6">
        <v>787</v>
      </c>
      <c r="F8" s="3">
        <v>7</v>
      </c>
      <c r="G8" s="6">
        <f t="shared" si="0"/>
        <v>5509</v>
      </c>
    </row>
    <row r="9" spans="1:7" x14ac:dyDescent="0.35">
      <c r="A9" s="7">
        <v>46030</v>
      </c>
      <c r="B9" s="3" t="s">
        <v>12</v>
      </c>
      <c r="C9" s="3" t="s">
        <v>3</v>
      </c>
      <c r="D9" s="3" t="s">
        <v>19</v>
      </c>
      <c r="E9" s="6">
        <v>456</v>
      </c>
      <c r="F9" s="3">
        <v>7</v>
      </c>
      <c r="G9" s="6">
        <f t="shared" si="0"/>
        <v>3192</v>
      </c>
    </row>
    <row r="10" spans="1:7" x14ac:dyDescent="0.35">
      <c r="A10" s="7">
        <v>46031</v>
      </c>
      <c r="B10" s="3" t="s">
        <v>12</v>
      </c>
      <c r="C10" s="3" t="s">
        <v>0</v>
      </c>
      <c r="D10" s="3" t="s">
        <v>18</v>
      </c>
      <c r="E10" s="6">
        <v>786</v>
      </c>
      <c r="F10" s="3">
        <v>11</v>
      </c>
      <c r="G10" s="6">
        <f t="shared" si="0"/>
        <v>8646</v>
      </c>
    </row>
    <row r="11" spans="1:7" x14ac:dyDescent="0.35">
      <c r="A11" s="7">
        <v>46032</v>
      </c>
      <c r="B11" s="3" t="s">
        <v>15</v>
      </c>
      <c r="C11" s="3" t="s">
        <v>2</v>
      </c>
      <c r="D11" s="3" t="s">
        <v>17</v>
      </c>
      <c r="E11" s="6">
        <v>999</v>
      </c>
      <c r="F11" s="3">
        <v>14</v>
      </c>
      <c r="G11" s="6">
        <f t="shared" si="0"/>
        <v>13986</v>
      </c>
    </row>
    <row r="12" spans="1:7" x14ac:dyDescent="0.35">
      <c r="A12" s="7">
        <v>46033</v>
      </c>
      <c r="B12" s="3" t="s">
        <v>14</v>
      </c>
      <c r="C12" s="3" t="s">
        <v>0</v>
      </c>
      <c r="D12" s="3" t="s">
        <v>17</v>
      </c>
      <c r="E12" s="6">
        <v>817</v>
      </c>
      <c r="F12" s="3">
        <v>8</v>
      </c>
      <c r="G12" s="6">
        <f t="shared" si="0"/>
        <v>6536</v>
      </c>
    </row>
    <row r="13" spans="1:7" x14ac:dyDescent="0.35">
      <c r="A13" s="7">
        <v>46034</v>
      </c>
      <c r="B13" s="3" t="s">
        <v>15</v>
      </c>
      <c r="C13" s="3" t="s">
        <v>0</v>
      </c>
      <c r="D13" s="3" t="s">
        <v>19</v>
      </c>
      <c r="E13" s="6">
        <v>453</v>
      </c>
      <c r="F13" s="3">
        <v>8</v>
      </c>
      <c r="G13" s="6">
        <f t="shared" si="0"/>
        <v>3624</v>
      </c>
    </row>
    <row r="14" spans="1:7" x14ac:dyDescent="0.35">
      <c r="A14" s="7">
        <v>46035</v>
      </c>
      <c r="B14" s="3" t="s">
        <v>15</v>
      </c>
      <c r="C14" s="3" t="s">
        <v>0</v>
      </c>
      <c r="D14" s="3" t="s">
        <v>19</v>
      </c>
      <c r="E14" s="6">
        <v>233</v>
      </c>
      <c r="F14" s="3">
        <v>4</v>
      </c>
      <c r="G14" s="6">
        <f t="shared" si="0"/>
        <v>932</v>
      </c>
    </row>
    <row r="15" spans="1:7" x14ac:dyDescent="0.35">
      <c r="A15" s="7">
        <v>46036</v>
      </c>
      <c r="B15" s="3" t="s">
        <v>15</v>
      </c>
      <c r="C15" s="3" t="s">
        <v>0</v>
      </c>
      <c r="D15" s="3" t="s">
        <v>20</v>
      </c>
      <c r="E15" s="6">
        <v>766</v>
      </c>
      <c r="F15" s="3">
        <v>11</v>
      </c>
      <c r="G15" s="6">
        <f t="shared" si="0"/>
        <v>8426</v>
      </c>
    </row>
    <row r="16" spans="1:7" x14ac:dyDescent="0.35">
      <c r="A16" s="7">
        <v>46037</v>
      </c>
      <c r="B16" s="3" t="s">
        <v>13</v>
      </c>
      <c r="C16" s="3" t="s">
        <v>3</v>
      </c>
      <c r="D16" s="3" t="s">
        <v>20</v>
      </c>
      <c r="E16" s="6">
        <v>977</v>
      </c>
      <c r="F16" s="3">
        <v>18</v>
      </c>
      <c r="G16" s="6">
        <f t="shared" si="0"/>
        <v>17586</v>
      </c>
    </row>
    <row r="17" spans="1:7" x14ac:dyDescent="0.35">
      <c r="A17" s="7">
        <v>46038</v>
      </c>
      <c r="B17" s="3" t="s">
        <v>13</v>
      </c>
      <c r="C17" s="3" t="s">
        <v>3</v>
      </c>
      <c r="D17" s="3" t="s">
        <v>20</v>
      </c>
      <c r="E17" s="6">
        <v>666</v>
      </c>
      <c r="F17" s="3">
        <v>15</v>
      </c>
      <c r="G17" s="6">
        <f t="shared" si="0"/>
        <v>9990</v>
      </c>
    </row>
    <row r="18" spans="1:7" x14ac:dyDescent="0.35">
      <c r="A18" s="7">
        <v>46039</v>
      </c>
      <c r="B18" s="3" t="s">
        <v>12</v>
      </c>
      <c r="C18" s="3" t="s">
        <v>3</v>
      </c>
      <c r="D18" s="3" t="s">
        <v>20</v>
      </c>
      <c r="E18" s="6">
        <v>344</v>
      </c>
      <c r="F18" s="3">
        <v>15</v>
      </c>
      <c r="G18" s="6">
        <f t="shared" si="0"/>
        <v>5160</v>
      </c>
    </row>
    <row r="19" spans="1:7" x14ac:dyDescent="0.35">
      <c r="A19" s="7">
        <v>46040</v>
      </c>
      <c r="B19" s="3" t="s">
        <v>16</v>
      </c>
      <c r="C19" s="3" t="s">
        <v>2</v>
      </c>
      <c r="D19" s="3" t="s">
        <v>19</v>
      </c>
      <c r="E19" s="6">
        <v>865</v>
      </c>
      <c r="F19" s="3">
        <v>3</v>
      </c>
      <c r="G19" s="6">
        <f t="shared" si="0"/>
        <v>2595</v>
      </c>
    </row>
    <row r="20" spans="1:7" x14ac:dyDescent="0.35">
      <c r="A20" s="7">
        <v>46041</v>
      </c>
      <c r="B20" s="3" t="s">
        <v>14</v>
      </c>
      <c r="C20" s="3" t="s">
        <v>3</v>
      </c>
      <c r="D20" s="3" t="s">
        <v>19</v>
      </c>
      <c r="E20" s="6">
        <v>923</v>
      </c>
      <c r="F20" s="3">
        <v>9</v>
      </c>
      <c r="G20" s="6">
        <f t="shared" si="0"/>
        <v>8307</v>
      </c>
    </row>
    <row r="21" spans="1:7" x14ac:dyDescent="0.35">
      <c r="A21" s="7">
        <v>46042</v>
      </c>
      <c r="B21" s="3" t="s">
        <v>16</v>
      </c>
      <c r="C21" s="3" t="s">
        <v>1</v>
      </c>
      <c r="D21" s="3" t="s">
        <v>19</v>
      </c>
      <c r="E21" s="6">
        <v>234</v>
      </c>
      <c r="F21" s="3">
        <v>12</v>
      </c>
      <c r="G21" s="6">
        <f t="shared" si="0"/>
        <v>2808</v>
      </c>
    </row>
    <row r="22" spans="1:7" x14ac:dyDescent="0.35">
      <c r="A22" s="7">
        <v>46043</v>
      </c>
      <c r="B22" s="3" t="s">
        <v>16</v>
      </c>
      <c r="C22" s="3" t="s">
        <v>3</v>
      </c>
      <c r="D22" s="3" t="s">
        <v>18</v>
      </c>
      <c r="E22" s="6">
        <v>623</v>
      </c>
      <c r="F22" s="3">
        <v>12</v>
      </c>
      <c r="G22" s="6">
        <f t="shared" si="0"/>
        <v>7476</v>
      </c>
    </row>
    <row r="23" spans="1:7" x14ac:dyDescent="0.35">
      <c r="A23" s="7">
        <v>46044</v>
      </c>
      <c r="B23" s="3" t="s">
        <v>16</v>
      </c>
      <c r="C23" s="3" t="s">
        <v>0</v>
      </c>
      <c r="D23" s="3" t="s">
        <v>20</v>
      </c>
      <c r="E23" s="6">
        <v>981</v>
      </c>
      <c r="F23" s="3">
        <v>11</v>
      </c>
      <c r="G23" s="6">
        <f t="shared" si="0"/>
        <v>10791</v>
      </c>
    </row>
    <row r="24" spans="1:7" x14ac:dyDescent="0.35">
      <c r="A24" s="7">
        <v>46045</v>
      </c>
      <c r="B24" s="3" t="s">
        <v>15</v>
      </c>
      <c r="C24" s="3" t="s">
        <v>0</v>
      </c>
      <c r="D24" s="3" t="s">
        <v>20</v>
      </c>
      <c r="E24" s="6">
        <v>860</v>
      </c>
      <c r="F24" s="3">
        <v>9</v>
      </c>
      <c r="G24" s="6">
        <f t="shared" si="0"/>
        <v>7740</v>
      </c>
    </row>
    <row r="25" spans="1:7" x14ac:dyDescent="0.35">
      <c r="A25" s="7">
        <v>46046</v>
      </c>
      <c r="B25" s="3" t="s">
        <v>15</v>
      </c>
      <c r="C25" s="3" t="s">
        <v>1</v>
      </c>
      <c r="D25" s="3" t="s">
        <v>18</v>
      </c>
      <c r="E25" s="6">
        <v>642</v>
      </c>
      <c r="F25" s="3">
        <v>10</v>
      </c>
      <c r="G25" s="6">
        <f t="shared" si="0"/>
        <v>6420</v>
      </c>
    </row>
    <row r="26" spans="1:7" x14ac:dyDescent="0.35">
      <c r="A26" s="7">
        <v>46047</v>
      </c>
      <c r="B26" s="3" t="s">
        <v>13</v>
      </c>
      <c r="C26" s="3" t="s">
        <v>3</v>
      </c>
      <c r="D26" s="3" t="s">
        <v>17</v>
      </c>
      <c r="E26" s="6">
        <v>299</v>
      </c>
      <c r="F26" s="3">
        <v>10</v>
      </c>
      <c r="G26" s="6">
        <f t="shared" si="0"/>
        <v>2990</v>
      </c>
    </row>
    <row r="27" spans="1:7" x14ac:dyDescent="0.35">
      <c r="A27" s="7"/>
      <c r="B27" s="3"/>
      <c r="C27" s="3"/>
      <c r="D27" s="3"/>
      <c r="E27" s="6"/>
      <c r="F27" s="3"/>
      <c r="G2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81" zoomScaleNormal="81" workbookViewId="0">
      <selection activeCell="A3" sqref="A3"/>
    </sheetView>
  </sheetViews>
  <sheetFormatPr defaultRowHeight="14.5" x14ac:dyDescent="0.35"/>
  <cols>
    <col min="1" max="1" width="21.54296875" customWidth="1"/>
    <col min="2" max="2" width="16.26953125" bestFit="1" customWidth="1"/>
    <col min="3" max="3" width="7.453125" bestFit="1" customWidth="1"/>
    <col min="4" max="4" width="8.1796875" bestFit="1" customWidth="1"/>
    <col min="5" max="5" width="10.54296875" bestFit="1" customWidth="1"/>
    <col min="6" max="6" width="10.90625" customWidth="1"/>
    <col min="7" max="10" width="8.453125" customWidth="1"/>
    <col min="11" max="26" width="9.453125" bestFit="1" customWidth="1"/>
    <col min="27" max="27" width="6.7265625" customWidth="1"/>
    <col min="28" max="28" width="10.7265625" bestFit="1" customWidth="1"/>
  </cols>
  <sheetData>
    <row r="1" spans="1:6" x14ac:dyDescent="0.35">
      <c r="A1" s="2" t="s">
        <v>6</v>
      </c>
      <c r="B1" t="s">
        <v>23</v>
      </c>
    </row>
    <row r="3" spans="1:6" x14ac:dyDescent="0.35">
      <c r="A3" s="2" t="s">
        <v>21</v>
      </c>
      <c r="B3" s="2" t="s">
        <v>24</v>
      </c>
    </row>
    <row r="4" spans="1:6" x14ac:dyDescent="0.35">
      <c r="A4" s="2" t="s">
        <v>4</v>
      </c>
      <c r="B4" t="s">
        <v>0</v>
      </c>
      <c r="C4" t="s">
        <v>2</v>
      </c>
      <c r="D4" t="s">
        <v>3</v>
      </c>
      <c r="E4" t="s">
        <v>1</v>
      </c>
      <c r="F4" t="s">
        <v>5</v>
      </c>
    </row>
    <row r="5" spans="1:6" x14ac:dyDescent="0.35">
      <c r="A5" s="1" t="s">
        <v>18</v>
      </c>
      <c r="B5" s="8">
        <v>8646</v>
      </c>
      <c r="C5" s="8"/>
      <c r="D5" s="8">
        <v>7476</v>
      </c>
      <c r="E5" s="8">
        <v>9336</v>
      </c>
      <c r="F5" s="8">
        <v>25458</v>
      </c>
    </row>
    <row r="6" spans="1:6" x14ac:dyDescent="0.35">
      <c r="A6" s="9" t="s">
        <v>12</v>
      </c>
      <c r="B6" s="8">
        <v>8646</v>
      </c>
      <c r="C6" s="8"/>
      <c r="D6" s="8"/>
      <c r="E6" s="8"/>
      <c r="F6" s="8">
        <v>8646</v>
      </c>
    </row>
    <row r="7" spans="1:6" x14ac:dyDescent="0.35">
      <c r="A7" s="9" t="s">
        <v>13</v>
      </c>
      <c r="B7" s="8"/>
      <c r="C7" s="8"/>
      <c r="D7" s="8"/>
      <c r="E7" s="8">
        <v>2916</v>
      </c>
      <c r="F7" s="8">
        <v>2916</v>
      </c>
    </row>
    <row r="8" spans="1:6" x14ac:dyDescent="0.35">
      <c r="A8" s="9" t="s">
        <v>16</v>
      </c>
      <c r="B8" s="8"/>
      <c r="C8" s="8"/>
      <c r="D8" s="8">
        <v>7476</v>
      </c>
      <c r="E8" s="8"/>
      <c r="F8" s="8">
        <v>7476</v>
      </c>
    </row>
    <row r="9" spans="1:6" x14ac:dyDescent="0.35">
      <c r="A9" s="9" t="s">
        <v>15</v>
      </c>
      <c r="B9" s="8"/>
      <c r="C9" s="8"/>
      <c r="D9" s="8"/>
      <c r="E9" s="8">
        <v>6420</v>
      </c>
      <c r="F9" s="8">
        <v>6420</v>
      </c>
    </row>
    <row r="10" spans="1:6" x14ac:dyDescent="0.35">
      <c r="A10" s="1" t="s">
        <v>17</v>
      </c>
      <c r="B10" s="8">
        <v>6536</v>
      </c>
      <c r="C10" s="8">
        <v>25737</v>
      </c>
      <c r="D10" s="8">
        <v>2990</v>
      </c>
      <c r="E10" s="8">
        <v>8604</v>
      </c>
      <c r="F10" s="8">
        <v>43867</v>
      </c>
    </row>
    <row r="11" spans="1:6" x14ac:dyDescent="0.35">
      <c r="A11" s="9" t="s">
        <v>12</v>
      </c>
      <c r="B11" s="8"/>
      <c r="C11" s="8"/>
      <c r="D11" s="8"/>
      <c r="E11" s="8">
        <v>2400</v>
      </c>
      <c r="F11" s="8">
        <v>2400</v>
      </c>
    </row>
    <row r="12" spans="1:6" x14ac:dyDescent="0.35">
      <c r="A12" s="9" t="s">
        <v>13</v>
      </c>
      <c r="B12" s="8"/>
      <c r="C12" s="8">
        <v>8739</v>
      </c>
      <c r="D12" s="8">
        <v>2990</v>
      </c>
      <c r="E12" s="8"/>
      <c r="F12" s="8">
        <v>11729</v>
      </c>
    </row>
    <row r="13" spans="1:6" x14ac:dyDescent="0.35">
      <c r="A13" s="9" t="s">
        <v>14</v>
      </c>
      <c r="B13" s="8">
        <v>6536</v>
      </c>
      <c r="C13" s="8">
        <v>3012</v>
      </c>
      <c r="D13" s="8"/>
      <c r="E13" s="8">
        <v>6204</v>
      </c>
      <c r="F13" s="8">
        <v>15752</v>
      </c>
    </row>
    <row r="14" spans="1:6" x14ac:dyDescent="0.35">
      <c r="A14" s="9" t="s">
        <v>15</v>
      </c>
      <c r="B14" s="8"/>
      <c r="C14" s="8">
        <v>13986</v>
      </c>
      <c r="D14" s="8"/>
      <c r="E14" s="8"/>
      <c r="F14" s="8">
        <v>13986</v>
      </c>
    </row>
    <row r="15" spans="1:6" x14ac:dyDescent="0.35">
      <c r="A15" s="1" t="s">
        <v>19</v>
      </c>
      <c r="B15" s="8">
        <v>4556</v>
      </c>
      <c r="C15" s="8">
        <v>2595</v>
      </c>
      <c r="D15" s="8">
        <v>17414</v>
      </c>
      <c r="E15" s="8">
        <v>2808</v>
      </c>
      <c r="F15" s="8">
        <v>27373</v>
      </c>
    </row>
    <row r="16" spans="1:6" x14ac:dyDescent="0.35">
      <c r="A16" s="9" t="s">
        <v>12</v>
      </c>
      <c r="B16" s="8"/>
      <c r="C16" s="8"/>
      <c r="D16" s="8">
        <v>9107</v>
      </c>
      <c r="E16" s="8"/>
      <c r="F16" s="8">
        <v>9107</v>
      </c>
    </row>
    <row r="17" spans="1:6" x14ac:dyDescent="0.35">
      <c r="A17" s="9" t="s">
        <v>16</v>
      </c>
      <c r="B17" s="8"/>
      <c r="C17" s="8">
        <v>2595</v>
      </c>
      <c r="D17" s="8"/>
      <c r="E17" s="8">
        <v>2808</v>
      </c>
      <c r="F17" s="8">
        <v>5403</v>
      </c>
    </row>
    <row r="18" spans="1:6" x14ac:dyDescent="0.35">
      <c r="A18" s="9" t="s">
        <v>14</v>
      </c>
      <c r="B18" s="8"/>
      <c r="C18" s="8"/>
      <c r="D18" s="8">
        <v>8307</v>
      </c>
      <c r="E18" s="8"/>
      <c r="F18" s="8">
        <v>8307</v>
      </c>
    </row>
    <row r="19" spans="1:6" x14ac:dyDescent="0.35">
      <c r="A19" s="9" t="s">
        <v>15</v>
      </c>
      <c r="B19" s="8">
        <v>4556</v>
      </c>
      <c r="C19" s="8"/>
      <c r="D19" s="8"/>
      <c r="E19" s="8"/>
      <c r="F19" s="8">
        <v>4556</v>
      </c>
    </row>
    <row r="20" spans="1:6" x14ac:dyDescent="0.35">
      <c r="A20" s="10" t="s">
        <v>20</v>
      </c>
      <c r="B20" s="11">
        <v>26957</v>
      </c>
      <c r="C20" s="11"/>
      <c r="D20" s="11">
        <v>32736</v>
      </c>
      <c r="E20" s="11"/>
      <c r="F20" s="11">
        <v>59693</v>
      </c>
    </row>
    <row r="21" spans="1:6" x14ac:dyDescent="0.35">
      <c r="A21" s="12" t="s">
        <v>12</v>
      </c>
      <c r="B21" s="11"/>
      <c r="C21" s="11"/>
      <c r="D21" s="11">
        <v>5160</v>
      </c>
      <c r="E21" s="11"/>
      <c r="F21" s="11">
        <v>5160</v>
      </c>
    </row>
    <row r="22" spans="1:6" x14ac:dyDescent="0.35">
      <c r="A22" s="12" t="s">
        <v>13</v>
      </c>
      <c r="B22" s="11"/>
      <c r="C22" s="11"/>
      <c r="D22" s="11">
        <v>27576</v>
      </c>
      <c r="E22" s="11"/>
      <c r="F22" s="11">
        <v>27576</v>
      </c>
    </row>
    <row r="23" spans="1:6" x14ac:dyDescent="0.35">
      <c r="A23" s="12" t="s">
        <v>16</v>
      </c>
      <c r="B23" s="11">
        <v>10791</v>
      </c>
      <c r="C23" s="11"/>
      <c r="D23" s="11"/>
      <c r="E23" s="11"/>
      <c r="F23" s="11">
        <v>10791</v>
      </c>
    </row>
    <row r="24" spans="1:6" x14ac:dyDescent="0.35">
      <c r="A24" s="12" t="s">
        <v>15</v>
      </c>
      <c r="B24" s="11">
        <v>16166</v>
      </c>
      <c r="C24" s="11"/>
      <c r="D24" s="11"/>
      <c r="E24" s="11"/>
      <c r="F24" s="11">
        <v>16166</v>
      </c>
    </row>
    <row r="25" spans="1:6" x14ac:dyDescent="0.35">
      <c r="A25" s="1" t="s">
        <v>5</v>
      </c>
      <c r="B25" s="8">
        <v>46695</v>
      </c>
      <c r="C25" s="8">
        <v>28332</v>
      </c>
      <c r="D25" s="8">
        <v>60616</v>
      </c>
      <c r="E25" s="8">
        <v>20748</v>
      </c>
      <c r="F25" s="8">
        <v>156391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2026-07-05T14:10:31Z</dcterms:created>
  <dcterms:modified xsi:type="dcterms:W3CDTF">2026-07-11T13:07:49Z</dcterms:modified>
</cp:coreProperties>
</file>
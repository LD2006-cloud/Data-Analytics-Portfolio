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OneDrive\Documents\"/>
    </mc:Choice>
  </mc:AlternateContent>
  <bookViews>
    <workbookView xWindow="0" yWindow="0" windowWidth="19200" windowHeight="6640"/>
  </bookViews>
  <sheets>
    <sheet name="Sheet1" sheetId="1" r:id="rId1"/>
  </sheets>
  <definedNames>
    <definedName name="Slicer_Months">#N/A</definedName>
  </definedNames>
  <calcPr calcId="162913"/>
  <pivotCaches>
    <pivotCache cacheId="1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 i="1"/>
</calcChain>
</file>

<file path=xl/sharedStrings.xml><?xml version="1.0" encoding="utf-8"?>
<sst xmlns="http://schemas.openxmlformats.org/spreadsheetml/2006/main" count="91" uniqueCount="25">
  <si>
    <t>Date</t>
  </si>
  <si>
    <t>Sales Person</t>
  </si>
  <si>
    <t>Region</t>
  </si>
  <si>
    <t>Product</t>
  </si>
  <si>
    <t>Category</t>
  </si>
  <si>
    <t>Quantity</t>
  </si>
  <si>
    <t>Sales Amount</t>
  </si>
  <si>
    <t>Ahmed</t>
  </si>
  <si>
    <t>Garowe</t>
  </si>
  <si>
    <t>Laptop</t>
  </si>
  <si>
    <t>Electronics</t>
  </si>
  <si>
    <t>Amina</t>
  </si>
  <si>
    <t>Bosaso</t>
  </si>
  <si>
    <t>Mouse</t>
  </si>
  <si>
    <t>Accessories</t>
  </si>
  <si>
    <t>Keyboard</t>
  </si>
  <si>
    <t>Hassan</t>
  </si>
  <si>
    <t>Hargeisa</t>
  </si>
  <si>
    <t>Mogadishu</t>
  </si>
  <si>
    <t>Monitor</t>
  </si>
  <si>
    <t>Ali</t>
  </si>
  <si>
    <t>Weekday</t>
  </si>
  <si>
    <t>Row Labels</t>
  </si>
  <si>
    <t>Grand Total</t>
  </si>
  <si>
    <t>Average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</si>
</sst>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dd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right" vertical="center" wrapText="1"/>
    </xf>
    <xf numFmtId="16" fontId="0" fillId="0" borderId="0" xfId="0" applyNumberFormat="1" applyAlignment="1">
      <alignment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xf>
    <xf numFmtId="169" fontId="0" fillId="0" borderId="0" xfId="0" applyNumberFormat="1" applyAlignment="1">
      <alignment vertical="center" wrapText="1"/>
    </xf>
    <xf numFmtId="0" fontId="0" fillId="0" borderId="0" xfId="0" pivotButton="1"/>
    <xf numFmtId="169" fontId="0" fillId="0" borderId="0" xfId="0" applyNumberFormat="1" applyAlignment="1">
      <alignment horizontal="left"/>
    </xf>
    <xf numFmtId="4" fontId="0" fillId="0" borderId="0" xfId="0" applyNumberFormat="1"/>
    <xf numFmtId="0" fontId="0" fillId="2" borderId="0" xfId="0" applyFill="1"/>
  </cellXfs>
  <cellStyles count="1">
    <cellStyle name="Normal" xfId="0" builtinId="0"/>
  </cellStyles>
  <dxfs count="12">
    <dxf>
      <font>
        <b/>
        <color theme="1"/>
      </font>
      <border>
        <bottom style="thin">
          <color theme="0" tint="-0.34998626667073579"/>
        </bottom>
        <vertical/>
        <horizontal/>
      </border>
    </dxf>
    <dxf>
      <font>
        <color theme="1"/>
      </font>
      <fill>
        <patternFill>
          <bgColor theme="0" tint="-0.14996795556505021"/>
        </patternFill>
      </fill>
      <border diagonalUp="0" diagonalDown="0">
        <left/>
        <right/>
        <top/>
        <bottom/>
        <vertical/>
        <horizontal/>
      </border>
    </dxf>
    <dxf>
      <numFmt numFmtId="0" formatCode="General"/>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1" formatCode="d\-m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s>
  <tableStyles count="1" defaultTableStyle="TableStyleMedium2" defaultPivotStyle="PivotStyleLight16">
    <tableStyle name="SlicerStyleOther1 2" pivot="0" table="0" count="10">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Amount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pivotFmt>
      <c:pivotFmt>
        <c:idx val="3"/>
        <c:spPr>
          <a:solidFill>
            <a:schemeClr val="bg2">
              <a:lumMod val="50000"/>
            </a:schemeClr>
          </a:solidFill>
          <a:ln>
            <a:noFill/>
          </a:ln>
          <a:effectLst/>
        </c:spPr>
        <c:marker>
          <c:symbol val="none"/>
        </c:marker>
      </c:pivotFmt>
    </c:pivotFmts>
    <c:plotArea>
      <c:layout>
        <c:manualLayout>
          <c:layoutTarget val="inner"/>
          <c:xMode val="edge"/>
          <c:yMode val="edge"/>
          <c:x val="8.3333333333333332E-3"/>
          <c:y val="0.18560185185185185"/>
          <c:w val="0.93888888888888888"/>
          <c:h val="0.72088764946048411"/>
        </c:manualLayout>
      </c:layout>
      <c:barChart>
        <c:barDir val="col"/>
        <c:grouping val="clustered"/>
        <c:varyColors val="0"/>
        <c:ser>
          <c:idx val="0"/>
          <c:order val="0"/>
          <c:tx>
            <c:strRef>
              <c:f>Sheet1!$K$1</c:f>
              <c:strCache>
                <c:ptCount val="1"/>
                <c:pt idx="0">
                  <c:v>Total</c:v>
                </c:pt>
              </c:strCache>
            </c:strRef>
          </c:tx>
          <c:spPr>
            <a:solidFill>
              <a:schemeClr val="bg2">
                <a:lumMod val="50000"/>
              </a:schemeClr>
            </a:solidFill>
            <a:ln>
              <a:noFill/>
            </a:ln>
            <a:effectLst/>
          </c:spPr>
          <c:invertIfNegative val="0"/>
          <c:cat>
            <c:strRef>
              <c:f>Sheet1!$J$2:$J$4</c:f>
              <c:strCache>
                <c:ptCount val="2"/>
                <c:pt idx="0">
                  <c:v>Sunday</c:v>
                </c:pt>
                <c:pt idx="1">
                  <c:v>Saturday</c:v>
                </c:pt>
              </c:strCache>
            </c:strRef>
          </c:cat>
          <c:val>
            <c:numRef>
              <c:f>Sheet1!$K$2:$K$4</c:f>
              <c:numCache>
                <c:formatCode>#,##0.00</c:formatCode>
                <c:ptCount val="2"/>
                <c:pt idx="0">
                  <c:v>100</c:v>
                </c:pt>
                <c:pt idx="1">
                  <c:v>1200</c:v>
                </c:pt>
              </c:numCache>
            </c:numRef>
          </c:val>
          <c:extLst>
            <c:ext xmlns:c16="http://schemas.microsoft.com/office/drawing/2014/chart" uri="{C3380CC4-5D6E-409C-BE32-E72D297353CC}">
              <c16:uniqueId val="{00000000-C2BA-4473-8C6D-3010D2968922}"/>
            </c:ext>
          </c:extLst>
        </c:ser>
        <c:dLbls>
          <c:showLegendKey val="0"/>
          <c:showVal val="0"/>
          <c:showCatName val="0"/>
          <c:showSerName val="0"/>
          <c:showPercent val="0"/>
          <c:showBubbleSize val="0"/>
        </c:dLbls>
        <c:gapWidth val="44"/>
        <c:overlap val="-27"/>
        <c:axId val="460279792"/>
        <c:axId val="460275216"/>
      </c:barChart>
      <c:catAx>
        <c:axId val="46027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75216"/>
        <c:crosses val="autoZero"/>
        <c:auto val="1"/>
        <c:lblAlgn val="ctr"/>
        <c:lblOffset val="100"/>
        <c:noMultiLvlLbl val="0"/>
      </c:catAx>
      <c:valAx>
        <c:axId val="460275216"/>
        <c:scaling>
          <c:orientation val="minMax"/>
        </c:scaling>
        <c:delete val="1"/>
        <c:axPos val="l"/>
        <c:numFmt formatCode="#,##0.00" sourceLinked="1"/>
        <c:majorTickMark val="none"/>
        <c:minorTickMark val="none"/>
        <c:tickLblPos val="nextTo"/>
        <c:crossAx val="460279792"/>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1407271</xdr:colOff>
      <xdr:row>11</xdr:row>
      <xdr:rowOff>131856</xdr:rowOff>
    </xdr:from>
    <xdr:to>
      <xdr:col>18</xdr:col>
      <xdr:colOff>189565</xdr:colOff>
      <xdr:row>26</xdr:row>
      <xdr:rowOff>73586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440392</xdr:colOff>
      <xdr:row>12</xdr:row>
      <xdr:rowOff>87780</xdr:rowOff>
    </xdr:from>
    <xdr:to>
      <xdr:col>10</xdr:col>
      <xdr:colOff>1350368</xdr:colOff>
      <xdr:row>26</xdr:row>
      <xdr:rowOff>1401</xdr:rowOff>
    </xdr:to>
    <mc:AlternateContent xmlns:mc="http://schemas.openxmlformats.org/markup-compatibility/2006">
      <mc:Choice xmlns:a14="http://schemas.microsoft.com/office/drawing/2010/main" Requires="a14">
        <xdr:graphicFrame macro="">
          <xdr:nvGraphicFramePr>
            <xdr:cNvPr id="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7180463" y="2246780"/>
              <a:ext cx="1826191" cy="2453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17.762211574074" createdVersion="6" refreshedVersion="6" minRefreshableVersion="3" recordCount="20">
  <cacheSource type="worksheet">
    <worksheetSource name="Table1"/>
  </cacheSource>
  <cacheFields count="9">
    <cacheField name="Date" numFmtId="16">
      <sharedItems containsSemiMixedTypes="0" containsNonDate="0" containsDate="1" containsString="0" minDate="2026-01-03T00:00:00" maxDate="2026-10-29T00:00:00" count="20">
        <d v="2026-01-03T00:00:00"/>
        <d v="2026-01-18T00:00:00"/>
        <d v="2026-02-05T00:00:00"/>
        <d v="2026-02-20T00:00:00"/>
        <d v="2026-03-04T00:00:00"/>
        <d v="2026-03-22T00:00:00"/>
        <d v="2026-04-08T00:00:00"/>
        <d v="2026-04-25T00:00:00"/>
        <d v="2026-05-06T00:00:00"/>
        <d v="2026-05-21T00:00:00"/>
        <d v="2026-06-05T00:00:00"/>
        <d v="2026-06-23T00:00:00"/>
        <d v="2026-07-07T00:00:00"/>
        <d v="2026-07-24T00:00:00"/>
        <d v="2026-08-09T00:00:00"/>
        <d v="2026-08-26T00:00:00"/>
        <d v="2026-09-03T00:00:00"/>
        <d v="2026-09-19T00:00:00"/>
        <d v="2026-10-10T00:00:00"/>
        <d v="2026-10-28T00:00:00"/>
      </sharedItems>
      <fieldGroup par="8" base="0">
        <rangePr groupBy="days" startDate="2026-01-03T00:00:00" endDate="2026-10-29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9/2026"/>
        </groupItems>
      </fieldGroup>
    </cacheField>
    <cacheField name="Sales Person" numFmtId="0">
      <sharedItems/>
    </cacheField>
    <cacheField name="Region"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7"/>
    </cacheField>
    <cacheField name="Sales Amount" numFmtId="0">
      <sharedItems containsSemiMixedTypes="0" containsString="0" containsNumber="1" containsInteger="1" minValue="80" maxValue="1200"/>
    </cacheField>
    <cacheField name="Weekday" numFmtId="169">
      <sharedItems containsSemiMixedTypes="0" containsNonDate="0" containsDate="1" containsString="0" minDate="1899-12-31T00:00:00" maxDate="1900-01-07T00:00:00" count="6">
        <d v="1900-01-06T00:00:00"/>
        <d v="1899-12-31T00:00:00"/>
        <d v="1900-01-04T00:00:00"/>
        <d v="1900-01-05T00:00:00"/>
        <d v="1900-01-03T00:00:00"/>
        <d v="1900-01-02T00:00:00"/>
      </sharedItems>
    </cacheField>
    <cacheField name="Months" numFmtId="0" databaseField="0">
      <fieldGroup base="0">
        <rangePr groupBy="months" startDate="2026-01-03T00:00:00" endDate="2026-10-29T00:00:00"/>
        <groupItems count="14">
          <s v="&lt;1/3/2026"/>
          <s v="Jan"/>
          <s v="Feb"/>
          <s v="Mar"/>
          <s v="Apr"/>
          <s v="May"/>
          <s v="Jun"/>
          <s v="Jul"/>
          <s v="Aug"/>
          <s v="Sep"/>
          <s v="Oct"/>
          <s v="Nov"/>
          <s v="Dec"/>
          <s v="&gt;10/29/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s v="Ahmed"/>
    <s v="Garowe"/>
    <s v="Laptop"/>
    <s v="Electronics"/>
    <n v="2"/>
    <n v="1200"/>
    <x v="0"/>
  </r>
  <r>
    <x v="1"/>
    <s v="Amina"/>
    <s v="Bosaso"/>
    <s v="Mouse"/>
    <s v="Accessories"/>
    <n v="5"/>
    <n v="100"/>
    <x v="1"/>
  </r>
  <r>
    <x v="2"/>
    <s v="Ahmed"/>
    <s v="Garowe"/>
    <s v="Keyboard"/>
    <s v="Accessories"/>
    <n v="3"/>
    <n v="180"/>
    <x v="2"/>
  </r>
  <r>
    <x v="3"/>
    <s v="Hassan"/>
    <s v="Hargeisa"/>
    <s v="Laptop"/>
    <s v="Electronics"/>
    <n v="1"/>
    <n v="600"/>
    <x v="3"/>
  </r>
  <r>
    <x v="4"/>
    <s v="Amina"/>
    <s v="Mogadishu"/>
    <s v="Monitor"/>
    <s v="Electronics"/>
    <n v="2"/>
    <n v="500"/>
    <x v="4"/>
  </r>
  <r>
    <x v="5"/>
    <s v="Ali"/>
    <s v="Bosaso"/>
    <s v="Mouse"/>
    <s v="Accessories"/>
    <n v="6"/>
    <n v="120"/>
    <x v="1"/>
  </r>
  <r>
    <x v="6"/>
    <s v="Hassan"/>
    <s v="Garowe"/>
    <s v="Keyboard"/>
    <s v="Accessories"/>
    <n v="4"/>
    <n v="240"/>
    <x v="4"/>
  </r>
  <r>
    <x v="7"/>
    <s v="Ahmed"/>
    <s v="Hargeisa"/>
    <s v="Monitor"/>
    <s v="Electronics"/>
    <n v="1"/>
    <n v="250"/>
    <x v="0"/>
  </r>
  <r>
    <x v="8"/>
    <s v="Ali"/>
    <s v="Mogadishu"/>
    <s v="Laptop"/>
    <s v="Electronics"/>
    <n v="2"/>
    <n v="1200"/>
    <x v="4"/>
  </r>
  <r>
    <x v="9"/>
    <s v="Amina"/>
    <s v="Garowe"/>
    <s v="Mouse"/>
    <s v="Accessories"/>
    <n v="7"/>
    <n v="140"/>
    <x v="2"/>
  </r>
  <r>
    <x v="10"/>
    <s v="Hassan"/>
    <s v="Bosaso"/>
    <s v="Keyboard"/>
    <s v="Accessories"/>
    <n v="2"/>
    <n v="120"/>
    <x v="3"/>
  </r>
  <r>
    <x v="11"/>
    <s v="Ahmed"/>
    <s v="Mogadishu"/>
    <s v="Monitor"/>
    <s v="Electronics"/>
    <n v="3"/>
    <n v="750"/>
    <x v="5"/>
  </r>
  <r>
    <x v="12"/>
    <s v="Ali"/>
    <s v="Garowe"/>
    <s v="Laptop"/>
    <s v="Electronics"/>
    <n v="1"/>
    <n v="600"/>
    <x v="5"/>
  </r>
  <r>
    <x v="13"/>
    <s v="Amina"/>
    <s v="Hargeisa"/>
    <s v="Keyboard"/>
    <s v="Accessories"/>
    <n v="5"/>
    <n v="300"/>
    <x v="3"/>
  </r>
  <r>
    <x v="14"/>
    <s v="Hassan"/>
    <s v="Bosaso"/>
    <s v="Mouse"/>
    <s v="Accessories"/>
    <n v="4"/>
    <n v="80"/>
    <x v="1"/>
  </r>
  <r>
    <x v="15"/>
    <s v="Ahmed"/>
    <s v="Garowe"/>
    <s v="Monitor"/>
    <s v="Electronics"/>
    <n v="2"/>
    <n v="500"/>
    <x v="4"/>
  </r>
  <r>
    <x v="16"/>
    <s v="Ali"/>
    <s v="Mogadishu"/>
    <s v="Keyboard"/>
    <s v="Accessories"/>
    <n v="3"/>
    <n v="180"/>
    <x v="2"/>
  </r>
  <r>
    <x v="17"/>
    <s v="Amina"/>
    <s v="Bosaso"/>
    <s v="Laptop"/>
    <s v="Electronics"/>
    <n v="1"/>
    <n v="600"/>
    <x v="0"/>
  </r>
  <r>
    <x v="18"/>
    <s v="Hassan"/>
    <s v="Hargeisa"/>
    <s v="Mouse"/>
    <s v="Accessories"/>
    <n v="6"/>
    <n v="120"/>
    <x v="0"/>
  </r>
  <r>
    <x v="19"/>
    <s v="Ahmed"/>
    <s v="Garowe"/>
    <s v="Laptop"/>
    <s v="Electronics"/>
    <n v="2"/>
    <n v="12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1:K4" firstHeaderRow="1" firstDataRow="1" firstDataCol="1"/>
  <pivotFields count="9">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axis="axisRow" numFmtId="169" showAll="0">
      <items count="7">
        <item x="1"/>
        <item x="5"/>
        <item x="4"/>
        <item x="2"/>
        <item x="3"/>
        <item x="0"/>
        <item t="default"/>
      </items>
    </pivotField>
    <pivotField showAll="0" defaultSubtotal="0">
      <items count="14">
        <item h="1" sd="0" x="0"/>
        <item sd="0" x="1"/>
        <item h="1" sd="0" x="2"/>
        <item h="1" sd="0" x="3"/>
        <item h="1" sd="0" x="4"/>
        <item h="1" sd="0" x="5"/>
        <item h="1" sd="0" x="6"/>
        <item h="1" sd="0" x="7"/>
        <item h="1" sd="0" x="8"/>
        <item h="1" sd="0" x="9"/>
        <item h="1" sd="0" x="10"/>
        <item h="1" sd="0" x="11"/>
        <item h="1" sd="0" x="12"/>
        <item h="1" sd="0" x="13"/>
      </items>
    </pivotField>
  </pivotFields>
  <rowFields count="1">
    <field x="7"/>
  </rowFields>
  <rowItems count="3">
    <i>
      <x/>
    </i>
    <i>
      <x v="5"/>
    </i>
    <i t="grand">
      <x/>
    </i>
  </rowItems>
  <colItems count="1">
    <i/>
  </colItems>
  <dataFields count="1">
    <dataField name="Average of Sales Amount" fld="6" subtotal="average" baseField="7" baseItem="0" numFmtId="4"/>
  </dataFields>
  <chartFormats count="2">
    <chartFormat chart="0" format="2">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 name="PivotTable3"/>
  </pivotTables>
  <data>
    <tabular pivotCacheId="1">
      <items count="14">
        <i x="1" s="1"/>
        <i x="2"/>
        <i x="3"/>
        <i x="4"/>
        <i x="5"/>
        <i x="6"/>
        <i x="7"/>
        <i x="8"/>
        <i x="9"/>
        <i x="10"/>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style="SlicerStyleOther1 2" rowHeight="241300"/>
</slicers>
</file>

<file path=xl/tables/table1.xml><?xml version="1.0" encoding="utf-8"?>
<table xmlns="http://schemas.openxmlformats.org/spreadsheetml/2006/main" id="1" name="Table1" displayName="Table1" ref="A1:H21" totalsRowShown="0" headerRowDxfId="11" dataDxfId="10">
  <autoFilter ref="A1:H21"/>
  <tableColumns count="8">
    <tableColumn id="1" name="Date" dataDxfId="9"/>
    <tableColumn id="2" name="Sales Person" dataDxfId="8"/>
    <tableColumn id="3" name="Region" dataDxfId="7"/>
    <tableColumn id="4" name="Product" dataDxfId="6"/>
    <tableColumn id="5" name="Category" dataDxfId="5"/>
    <tableColumn id="6" name="Quantity" dataDxfId="4"/>
    <tableColumn id="7" name="Sales Amount" dataDxfId="3"/>
    <tableColumn id="8" name="Weekday" dataDxfId="2">
      <calculatedColumnFormula>WEEKDAY(Table1[[#This Row],[Date]],1)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tabSelected="1" zoomScale="70" zoomScaleNormal="70" workbookViewId="0">
      <selection activeCell="M7" sqref="M7"/>
    </sheetView>
  </sheetViews>
  <sheetFormatPr defaultRowHeight="14.5" x14ac:dyDescent="0.35"/>
  <cols>
    <col min="1" max="1" width="10.453125" customWidth="1"/>
    <col min="2" max="2" width="13.26953125" customWidth="1"/>
    <col min="3" max="3" width="11.90625" customWidth="1"/>
    <col min="4" max="4" width="11.1796875" customWidth="1"/>
    <col min="5" max="5" width="11.81640625" customWidth="1"/>
    <col min="6" max="6" width="10.1796875" customWidth="1"/>
    <col min="7" max="7" width="14.26953125" customWidth="1"/>
    <col min="8" max="8" width="10.7265625" customWidth="1"/>
    <col min="9" max="9" width="2.6328125" customWidth="1"/>
    <col min="10" max="10" width="13.08984375" customWidth="1"/>
    <col min="11" max="11" width="21.90625" customWidth="1"/>
  </cols>
  <sheetData>
    <row r="1" spans="1:19" s="5" customFormat="1" ht="13" customHeight="1" x14ac:dyDescent="0.35">
      <c r="A1" s="4" t="s">
        <v>0</v>
      </c>
      <c r="B1" s="4" t="s">
        <v>1</v>
      </c>
      <c r="C1" s="4" t="s">
        <v>2</v>
      </c>
      <c r="D1" s="4" t="s">
        <v>3</v>
      </c>
      <c r="E1" s="4" t="s">
        <v>4</v>
      </c>
      <c r="F1" s="4" t="s">
        <v>5</v>
      </c>
      <c r="G1" s="4" t="s">
        <v>6</v>
      </c>
      <c r="H1" s="4" t="s">
        <v>21</v>
      </c>
      <c r="J1" s="7" t="s">
        <v>22</v>
      </c>
      <c r="K1" t="s">
        <v>24</v>
      </c>
    </row>
    <row r="2" spans="1:19" x14ac:dyDescent="0.35">
      <c r="A2" s="2">
        <v>46025</v>
      </c>
      <c r="B2" s="3" t="s">
        <v>7</v>
      </c>
      <c r="C2" s="3" t="s">
        <v>8</v>
      </c>
      <c r="D2" s="3" t="s">
        <v>9</v>
      </c>
      <c r="E2" s="3" t="s">
        <v>10</v>
      </c>
      <c r="F2" s="1">
        <v>2</v>
      </c>
      <c r="G2" s="1">
        <v>1200</v>
      </c>
      <c r="H2" s="6">
        <f>WEEKDAY(Table1[[#This Row],[Date]],1)</f>
        <v>7</v>
      </c>
      <c r="J2" s="8">
        <v>1</v>
      </c>
      <c r="K2" s="9">
        <v>100</v>
      </c>
    </row>
    <row r="3" spans="1:19" x14ac:dyDescent="0.35">
      <c r="A3" s="2">
        <v>46040</v>
      </c>
      <c r="B3" s="3" t="s">
        <v>11</v>
      </c>
      <c r="C3" s="3" t="s">
        <v>12</v>
      </c>
      <c r="D3" s="3" t="s">
        <v>13</v>
      </c>
      <c r="E3" s="3" t="s">
        <v>14</v>
      </c>
      <c r="F3" s="1">
        <v>5</v>
      </c>
      <c r="G3" s="1">
        <v>100</v>
      </c>
      <c r="H3" s="6">
        <f>WEEKDAY(Table1[[#This Row],[Date]],1)</f>
        <v>1</v>
      </c>
      <c r="J3" s="8">
        <v>7</v>
      </c>
      <c r="K3" s="9">
        <v>1200</v>
      </c>
    </row>
    <row r="4" spans="1:19" x14ac:dyDescent="0.35">
      <c r="A4" s="2">
        <v>46058</v>
      </c>
      <c r="B4" s="3" t="s">
        <v>7</v>
      </c>
      <c r="C4" s="3" t="s">
        <v>8</v>
      </c>
      <c r="D4" s="3" t="s">
        <v>15</v>
      </c>
      <c r="E4" s="3" t="s">
        <v>14</v>
      </c>
      <c r="F4" s="1">
        <v>3</v>
      </c>
      <c r="G4" s="1">
        <v>180</v>
      </c>
      <c r="H4" s="6">
        <f>WEEKDAY(Table1[[#This Row],[Date]],1)</f>
        <v>5</v>
      </c>
      <c r="J4" s="8" t="s">
        <v>23</v>
      </c>
      <c r="K4" s="9">
        <v>650</v>
      </c>
    </row>
    <row r="5" spans="1:19" x14ac:dyDescent="0.35">
      <c r="A5" s="2">
        <v>46073</v>
      </c>
      <c r="B5" s="3" t="s">
        <v>16</v>
      </c>
      <c r="C5" s="3" t="s">
        <v>17</v>
      </c>
      <c r="D5" s="3" t="s">
        <v>9</v>
      </c>
      <c r="E5" s="3" t="s">
        <v>10</v>
      </c>
      <c r="F5" s="1">
        <v>1</v>
      </c>
      <c r="G5" s="1">
        <v>600</v>
      </c>
      <c r="H5" s="6">
        <f>WEEKDAY(Table1[[#This Row],[Date]],1)</f>
        <v>6</v>
      </c>
    </row>
    <row r="6" spans="1:19" x14ac:dyDescent="0.35">
      <c r="A6" s="2">
        <v>46085</v>
      </c>
      <c r="B6" s="3" t="s">
        <v>11</v>
      </c>
      <c r="C6" s="3" t="s">
        <v>18</v>
      </c>
      <c r="D6" s="3" t="s">
        <v>19</v>
      </c>
      <c r="E6" s="3" t="s">
        <v>10</v>
      </c>
      <c r="F6" s="1">
        <v>2</v>
      </c>
      <c r="G6" s="1">
        <v>500</v>
      </c>
      <c r="H6" s="6">
        <f>WEEKDAY(Table1[[#This Row],[Date]],1)</f>
        <v>4</v>
      </c>
    </row>
    <row r="7" spans="1:19" x14ac:dyDescent="0.35">
      <c r="A7" s="2">
        <v>46103</v>
      </c>
      <c r="B7" s="3" t="s">
        <v>20</v>
      </c>
      <c r="C7" s="3" t="s">
        <v>12</v>
      </c>
      <c r="D7" s="3" t="s">
        <v>13</v>
      </c>
      <c r="E7" s="3" t="s">
        <v>14</v>
      </c>
      <c r="F7" s="1">
        <v>6</v>
      </c>
      <c r="G7" s="1">
        <v>120</v>
      </c>
      <c r="H7" s="6">
        <f>WEEKDAY(Table1[[#This Row],[Date]],1)</f>
        <v>1</v>
      </c>
    </row>
    <row r="8" spans="1:19" x14ac:dyDescent="0.35">
      <c r="A8" s="2">
        <v>46120</v>
      </c>
      <c r="B8" s="3" t="s">
        <v>16</v>
      </c>
      <c r="C8" s="3" t="s">
        <v>8</v>
      </c>
      <c r="D8" s="3" t="s">
        <v>15</v>
      </c>
      <c r="E8" s="3" t="s">
        <v>14</v>
      </c>
      <c r="F8" s="1">
        <v>4</v>
      </c>
      <c r="G8" s="1">
        <v>240</v>
      </c>
      <c r="H8" s="6">
        <f>WEEKDAY(Table1[[#This Row],[Date]],1)</f>
        <v>4</v>
      </c>
    </row>
    <row r="9" spans="1:19" x14ac:dyDescent="0.35">
      <c r="A9" s="2">
        <v>46137</v>
      </c>
      <c r="B9" s="3" t="s">
        <v>7</v>
      </c>
      <c r="C9" s="3" t="s">
        <v>17</v>
      </c>
      <c r="D9" s="3" t="s">
        <v>19</v>
      </c>
      <c r="E9" s="3" t="s">
        <v>10</v>
      </c>
      <c r="F9" s="1">
        <v>1</v>
      </c>
      <c r="G9" s="1">
        <v>250</v>
      </c>
      <c r="H9" s="6">
        <f>WEEKDAY(Table1[[#This Row],[Date]],1)</f>
        <v>7</v>
      </c>
    </row>
    <row r="10" spans="1:19" x14ac:dyDescent="0.35">
      <c r="A10" s="2">
        <v>46148</v>
      </c>
      <c r="B10" s="3" t="s">
        <v>20</v>
      </c>
      <c r="C10" s="3" t="s">
        <v>18</v>
      </c>
      <c r="D10" s="3" t="s">
        <v>9</v>
      </c>
      <c r="E10" s="3" t="s">
        <v>10</v>
      </c>
      <c r="F10" s="1">
        <v>2</v>
      </c>
      <c r="G10" s="1">
        <v>1200</v>
      </c>
      <c r="H10" s="6">
        <f>WEEKDAY(Table1[[#This Row],[Date]],1)</f>
        <v>4</v>
      </c>
    </row>
    <row r="11" spans="1:19" x14ac:dyDescent="0.35">
      <c r="A11" s="2">
        <v>46163</v>
      </c>
      <c r="B11" s="3" t="s">
        <v>11</v>
      </c>
      <c r="C11" s="3" t="s">
        <v>8</v>
      </c>
      <c r="D11" s="3" t="s">
        <v>13</v>
      </c>
      <c r="E11" s="3" t="s">
        <v>14</v>
      </c>
      <c r="F11" s="1">
        <v>7</v>
      </c>
      <c r="G11" s="1">
        <v>140</v>
      </c>
      <c r="H11" s="6">
        <f>WEEKDAY(Table1[[#This Row],[Date]],1)</f>
        <v>5</v>
      </c>
      <c r="J11" s="10"/>
      <c r="K11" s="10"/>
      <c r="L11" s="10"/>
      <c r="M11" s="10"/>
      <c r="N11" s="10"/>
      <c r="O11" s="10"/>
      <c r="P11" s="10"/>
      <c r="Q11" s="10"/>
      <c r="R11" s="10"/>
      <c r="S11" s="10"/>
    </row>
    <row r="12" spans="1:19" x14ac:dyDescent="0.35">
      <c r="A12" s="2">
        <v>46178</v>
      </c>
      <c r="B12" s="3" t="s">
        <v>16</v>
      </c>
      <c r="C12" s="3" t="s">
        <v>12</v>
      </c>
      <c r="D12" s="3" t="s">
        <v>15</v>
      </c>
      <c r="E12" s="3" t="s">
        <v>14</v>
      </c>
      <c r="F12" s="1">
        <v>2</v>
      </c>
      <c r="G12" s="1">
        <v>120</v>
      </c>
      <c r="H12" s="6">
        <f>WEEKDAY(Table1[[#This Row],[Date]],1)</f>
        <v>6</v>
      </c>
      <c r="J12" s="10"/>
      <c r="K12" s="10"/>
      <c r="L12" s="10"/>
      <c r="M12" s="10"/>
      <c r="N12" s="10"/>
      <c r="O12" s="10"/>
      <c r="P12" s="10"/>
      <c r="Q12" s="10"/>
      <c r="R12" s="10"/>
      <c r="S12" s="10"/>
    </row>
    <row r="13" spans="1:19" x14ac:dyDescent="0.35">
      <c r="A13" s="2">
        <v>46196</v>
      </c>
      <c r="B13" s="3" t="s">
        <v>7</v>
      </c>
      <c r="C13" s="3" t="s">
        <v>18</v>
      </c>
      <c r="D13" s="3" t="s">
        <v>19</v>
      </c>
      <c r="E13" s="3" t="s">
        <v>10</v>
      </c>
      <c r="F13" s="1">
        <v>3</v>
      </c>
      <c r="G13" s="1">
        <v>750</v>
      </c>
      <c r="H13" s="6">
        <f>WEEKDAY(Table1[[#This Row],[Date]],1)</f>
        <v>3</v>
      </c>
      <c r="J13" s="10"/>
      <c r="K13" s="10"/>
      <c r="L13" s="10"/>
      <c r="M13" s="10"/>
      <c r="N13" s="10"/>
      <c r="O13" s="10"/>
      <c r="P13" s="10"/>
      <c r="Q13" s="10"/>
      <c r="R13" s="10"/>
      <c r="S13" s="10"/>
    </row>
    <row r="14" spans="1:19" x14ac:dyDescent="0.35">
      <c r="A14" s="2">
        <v>46210</v>
      </c>
      <c r="B14" s="3" t="s">
        <v>20</v>
      </c>
      <c r="C14" s="3" t="s">
        <v>8</v>
      </c>
      <c r="D14" s="3" t="s">
        <v>9</v>
      </c>
      <c r="E14" s="3" t="s">
        <v>10</v>
      </c>
      <c r="F14" s="1">
        <v>1</v>
      </c>
      <c r="G14" s="1">
        <v>600</v>
      </c>
      <c r="H14" s="6">
        <f>WEEKDAY(Table1[[#This Row],[Date]],1)</f>
        <v>3</v>
      </c>
      <c r="J14" s="10"/>
      <c r="K14" s="10"/>
      <c r="L14" s="10"/>
      <c r="M14" s="10"/>
      <c r="N14" s="10"/>
      <c r="O14" s="10"/>
      <c r="P14" s="10"/>
      <c r="Q14" s="10"/>
      <c r="R14" s="10"/>
      <c r="S14" s="10"/>
    </row>
    <row r="15" spans="1:19" x14ac:dyDescent="0.35">
      <c r="A15" s="2">
        <v>46227</v>
      </c>
      <c r="B15" s="3" t="s">
        <v>11</v>
      </c>
      <c r="C15" s="3" t="s">
        <v>17</v>
      </c>
      <c r="D15" s="3" t="s">
        <v>15</v>
      </c>
      <c r="E15" s="3" t="s">
        <v>14</v>
      </c>
      <c r="F15" s="1">
        <v>5</v>
      </c>
      <c r="G15" s="1">
        <v>300</v>
      </c>
      <c r="H15" s="6">
        <f>WEEKDAY(Table1[[#This Row],[Date]],1)</f>
        <v>6</v>
      </c>
      <c r="J15" s="10"/>
      <c r="K15" s="10"/>
      <c r="L15" s="10"/>
      <c r="M15" s="10"/>
      <c r="N15" s="10"/>
      <c r="O15" s="10"/>
      <c r="P15" s="10"/>
      <c r="Q15" s="10"/>
      <c r="R15" s="10"/>
      <c r="S15" s="10"/>
    </row>
    <row r="16" spans="1:19" x14ac:dyDescent="0.35">
      <c r="A16" s="2">
        <v>46243</v>
      </c>
      <c r="B16" s="3" t="s">
        <v>16</v>
      </c>
      <c r="C16" s="3" t="s">
        <v>12</v>
      </c>
      <c r="D16" s="3" t="s">
        <v>13</v>
      </c>
      <c r="E16" s="3" t="s">
        <v>14</v>
      </c>
      <c r="F16" s="1">
        <v>4</v>
      </c>
      <c r="G16" s="1">
        <v>80</v>
      </c>
      <c r="H16" s="6">
        <f>WEEKDAY(Table1[[#This Row],[Date]],1)</f>
        <v>1</v>
      </c>
      <c r="J16" s="10"/>
      <c r="K16" s="10"/>
      <c r="L16" s="10"/>
      <c r="M16" s="10"/>
      <c r="N16" s="10"/>
      <c r="O16" s="10"/>
      <c r="P16" s="10"/>
      <c r="Q16" s="10"/>
      <c r="R16" s="10"/>
      <c r="S16" s="10"/>
    </row>
    <row r="17" spans="1:19" x14ac:dyDescent="0.35">
      <c r="A17" s="2">
        <v>46260</v>
      </c>
      <c r="B17" s="3" t="s">
        <v>7</v>
      </c>
      <c r="C17" s="3" t="s">
        <v>8</v>
      </c>
      <c r="D17" s="3" t="s">
        <v>19</v>
      </c>
      <c r="E17" s="3" t="s">
        <v>10</v>
      </c>
      <c r="F17" s="1">
        <v>2</v>
      </c>
      <c r="G17" s="1">
        <v>500</v>
      </c>
      <c r="H17" s="6">
        <f>WEEKDAY(Table1[[#This Row],[Date]],1)</f>
        <v>4</v>
      </c>
      <c r="J17" s="10"/>
      <c r="K17" s="10"/>
      <c r="L17" s="10"/>
      <c r="M17" s="10"/>
      <c r="N17" s="10"/>
      <c r="O17" s="10"/>
      <c r="P17" s="10"/>
      <c r="Q17" s="10"/>
      <c r="R17" s="10"/>
      <c r="S17" s="10"/>
    </row>
    <row r="18" spans="1:19" x14ac:dyDescent="0.35">
      <c r="A18" s="2">
        <v>46268</v>
      </c>
      <c r="B18" s="3" t="s">
        <v>20</v>
      </c>
      <c r="C18" s="3" t="s">
        <v>18</v>
      </c>
      <c r="D18" s="3" t="s">
        <v>15</v>
      </c>
      <c r="E18" s="3" t="s">
        <v>14</v>
      </c>
      <c r="F18" s="1">
        <v>3</v>
      </c>
      <c r="G18" s="1">
        <v>180</v>
      </c>
      <c r="H18" s="6">
        <f>WEEKDAY(Table1[[#This Row],[Date]],1)</f>
        <v>5</v>
      </c>
      <c r="J18" s="10"/>
      <c r="K18" s="10"/>
      <c r="L18" s="10"/>
      <c r="M18" s="10"/>
      <c r="N18" s="10"/>
      <c r="O18" s="10"/>
      <c r="P18" s="10"/>
      <c r="Q18" s="10"/>
      <c r="R18" s="10"/>
      <c r="S18" s="10"/>
    </row>
    <row r="19" spans="1:19" x14ac:dyDescent="0.35">
      <c r="A19" s="2">
        <v>46284</v>
      </c>
      <c r="B19" s="3" t="s">
        <v>11</v>
      </c>
      <c r="C19" s="3" t="s">
        <v>12</v>
      </c>
      <c r="D19" s="3" t="s">
        <v>9</v>
      </c>
      <c r="E19" s="3" t="s">
        <v>10</v>
      </c>
      <c r="F19" s="1">
        <v>1</v>
      </c>
      <c r="G19" s="1">
        <v>600</v>
      </c>
      <c r="H19" s="6">
        <f>WEEKDAY(Table1[[#This Row],[Date]],1)</f>
        <v>7</v>
      </c>
      <c r="J19" s="10"/>
      <c r="K19" s="10"/>
      <c r="L19" s="10"/>
      <c r="M19" s="10"/>
      <c r="N19" s="10"/>
      <c r="O19" s="10"/>
      <c r="P19" s="10"/>
      <c r="Q19" s="10"/>
      <c r="R19" s="10"/>
      <c r="S19" s="10"/>
    </row>
    <row r="20" spans="1:19" x14ac:dyDescent="0.35">
      <c r="A20" s="2">
        <v>46305</v>
      </c>
      <c r="B20" s="3" t="s">
        <v>16</v>
      </c>
      <c r="C20" s="3" t="s">
        <v>17</v>
      </c>
      <c r="D20" s="3" t="s">
        <v>13</v>
      </c>
      <c r="E20" s="3" t="s">
        <v>14</v>
      </c>
      <c r="F20" s="1">
        <v>6</v>
      </c>
      <c r="G20" s="1">
        <v>120</v>
      </c>
      <c r="H20" s="6">
        <f>WEEKDAY(Table1[[#This Row],[Date]],1)</f>
        <v>7</v>
      </c>
      <c r="J20" s="10"/>
      <c r="K20" s="10"/>
      <c r="L20" s="10"/>
      <c r="M20" s="10"/>
      <c r="N20" s="10"/>
      <c r="O20" s="10"/>
      <c r="P20" s="10"/>
      <c r="Q20" s="10"/>
      <c r="R20" s="10"/>
      <c r="S20" s="10"/>
    </row>
    <row r="21" spans="1:19" x14ac:dyDescent="0.35">
      <c r="A21" s="2">
        <v>46323</v>
      </c>
      <c r="B21" s="3" t="s">
        <v>7</v>
      </c>
      <c r="C21" s="3" t="s">
        <v>8</v>
      </c>
      <c r="D21" s="3" t="s">
        <v>9</v>
      </c>
      <c r="E21" s="3" t="s">
        <v>10</v>
      </c>
      <c r="F21" s="1">
        <v>2</v>
      </c>
      <c r="G21" s="1">
        <v>1200</v>
      </c>
      <c r="H21" s="6">
        <f>WEEKDAY(Table1[[#This Row],[Date]],1)</f>
        <v>4</v>
      </c>
      <c r="J21" s="10"/>
      <c r="K21" s="10"/>
      <c r="L21" s="10"/>
      <c r="M21" s="10"/>
      <c r="N21" s="10"/>
      <c r="O21" s="10"/>
      <c r="P21" s="10"/>
      <c r="Q21" s="10"/>
      <c r="R21" s="10"/>
      <c r="S21" s="10"/>
    </row>
    <row r="22" spans="1:19" x14ac:dyDescent="0.35">
      <c r="J22" s="10"/>
      <c r="K22" s="10"/>
      <c r="L22" s="10"/>
      <c r="M22" s="10"/>
      <c r="N22" s="10"/>
      <c r="O22" s="10"/>
      <c r="P22" s="10"/>
      <c r="Q22" s="10"/>
      <c r="R22" s="10"/>
      <c r="S22" s="10"/>
    </row>
    <row r="23" spans="1:19" x14ac:dyDescent="0.35">
      <c r="J23" s="10"/>
      <c r="K23" s="10"/>
      <c r="L23" s="10"/>
      <c r="M23" s="10"/>
      <c r="N23" s="10"/>
      <c r="O23" s="10"/>
      <c r="P23" s="10"/>
      <c r="Q23" s="10"/>
      <c r="R23" s="10"/>
      <c r="S23" s="10"/>
    </row>
    <row r="24" spans="1:19" x14ac:dyDescent="0.35">
      <c r="J24" s="10"/>
      <c r="K24" s="10"/>
      <c r="L24" s="10"/>
      <c r="M24" s="10"/>
      <c r="N24" s="10"/>
      <c r="O24" s="10"/>
      <c r="P24" s="10"/>
      <c r="Q24" s="10"/>
      <c r="R24" s="10"/>
      <c r="S24" s="10"/>
    </row>
    <row r="25" spans="1:19" x14ac:dyDescent="0.35">
      <c r="J25" s="10"/>
      <c r="K25" s="10"/>
      <c r="L25" s="10"/>
      <c r="M25" s="10"/>
      <c r="N25" s="10"/>
      <c r="O25" s="10"/>
      <c r="P25" s="10"/>
      <c r="Q25" s="10"/>
      <c r="R25" s="10"/>
      <c r="S25" s="10"/>
    </row>
    <row r="26" spans="1:19" x14ac:dyDescent="0.35">
      <c r="J26" s="10"/>
      <c r="K26" s="10"/>
      <c r="L26" s="10"/>
      <c r="M26" s="10"/>
      <c r="N26" s="10"/>
      <c r="O26" s="10"/>
      <c r="P26" s="10"/>
      <c r="Q26" s="10"/>
      <c r="R26" s="10"/>
      <c r="S26" s="10"/>
    </row>
    <row r="27" spans="1:19" x14ac:dyDescent="0.35">
      <c r="J27" s="10"/>
      <c r="K27" s="10"/>
      <c r="L27" s="10"/>
      <c r="M27" s="10"/>
      <c r="N27" s="10"/>
      <c r="O27" s="10"/>
      <c r="P27" s="10"/>
      <c r="Q27" s="10"/>
      <c r="R27" s="10"/>
      <c r="S27" s="10"/>
    </row>
    <row r="28" spans="1:19" x14ac:dyDescent="0.35">
      <c r="J28" s="10"/>
      <c r="K28" s="10"/>
      <c r="L28" s="10"/>
      <c r="M28" s="10"/>
      <c r="N28" s="10"/>
      <c r="O28" s="10"/>
      <c r="P28" s="10"/>
      <c r="Q28" s="10"/>
      <c r="R28" s="10"/>
      <c r="S28" s="10"/>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2026-07-14T14:45:55Z</dcterms:created>
  <dcterms:modified xsi:type="dcterms:W3CDTF">2026-07-14T15:52:55Z</dcterms:modified>
</cp:coreProperties>
</file>
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1553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 l="1"/>
  <c r="K44" i="1"/>
  <c r="K45" i="1"/>
  <c r="K46" i="1"/>
  <c r="K47" i="1"/>
  <c r="K48" i="1"/>
  <c r="K43" i="1"/>
  <c r="P28" i="1"/>
  <c r="P29" i="1"/>
  <c r="P30" i="1"/>
  <c r="P31" i="1"/>
  <c r="P32" i="1"/>
  <c r="I25" i="1"/>
  <c r="I26" i="1"/>
  <c r="P24" i="1"/>
  <c r="I27" i="1"/>
  <c r="B36" i="1" l="1"/>
  <c r="AB15" i="1"/>
  <c r="AB12" i="1"/>
  <c r="AB9" i="1"/>
  <c r="P27" i="1"/>
  <c r="B25" i="1"/>
  <c r="O8" i="1"/>
  <c r="P2" i="1"/>
  <c r="O2" i="1"/>
  <c r="O11" i="1"/>
  <c r="E23" i="1"/>
  <c r="AB5" i="1"/>
  <c r="AB2" i="1"/>
  <c r="B28" i="1"/>
  <c r="O15" i="1"/>
  <c r="B26" i="1"/>
  <c r="B27" i="1"/>
  <c r="U3" i="1" l="1"/>
  <c r="U9" i="1"/>
  <c r="U14" i="1"/>
  <c r="U17" i="1"/>
  <c r="U19" i="1"/>
  <c r="Q4" i="1"/>
  <c r="Q5" i="1"/>
  <c r="Q6" i="1"/>
  <c r="Q7" i="1"/>
  <c r="Q8" i="1"/>
  <c r="Q10" i="1"/>
  <c r="Q11" i="1"/>
  <c r="Q12" i="1"/>
  <c r="Q13" i="1"/>
  <c r="Q15" i="1"/>
  <c r="Q16" i="1"/>
  <c r="Q18" i="1"/>
  <c r="Q20" i="1"/>
  <c r="Q21" i="1"/>
  <c r="Q2" i="1"/>
  <c r="P4" i="1"/>
  <c r="P5" i="1"/>
  <c r="P6" i="1"/>
  <c r="P7" i="1"/>
  <c r="P8" i="1"/>
  <c r="P10" i="1"/>
  <c r="P11" i="1"/>
  <c r="P12" i="1"/>
  <c r="P13" i="1"/>
  <c r="P15" i="1"/>
  <c r="P16" i="1"/>
  <c r="P18" i="1"/>
  <c r="P20" i="1"/>
  <c r="P21" i="1"/>
  <c r="N4" i="1"/>
  <c r="W4" i="1" s="1"/>
  <c r="N5" i="1"/>
  <c r="W5" i="1" s="1"/>
  <c r="N10" i="1"/>
  <c r="W10" i="1" s="1"/>
  <c r="N12" i="1"/>
  <c r="W12" i="1" s="1"/>
  <c r="N13" i="1"/>
  <c r="W13" i="1" s="1"/>
  <c r="N18" i="1"/>
  <c r="W18" i="1" s="1"/>
  <c r="N19" i="1"/>
  <c r="W19" i="1" s="1"/>
  <c r="N20" i="1"/>
  <c r="W20" i="1" s="1"/>
  <c r="N21" i="1"/>
  <c r="W21" i="1" s="1"/>
  <c r="K4" i="1"/>
  <c r="K5" i="1"/>
  <c r="T5" i="1" s="1"/>
  <c r="K6" i="1"/>
  <c r="K7" i="1"/>
  <c r="T7" i="1" s="1"/>
  <c r="K8" i="1"/>
  <c r="T8" i="1" s="1"/>
  <c r="K10" i="1"/>
  <c r="U10" i="1" s="1"/>
  <c r="K11" i="1"/>
  <c r="U11" i="1" s="1"/>
  <c r="K12" i="1"/>
  <c r="K13" i="1"/>
  <c r="T13" i="1" s="1"/>
  <c r="K15" i="1"/>
  <c r="U15" i="1" s="1"/>
  <c r="K16" i="1"/>
  <c r="T16" i="1" s="1"/>
  <c r="K18" i="1"/>
  <c r="U18" i="1" s="1"/>
  <c r="K20" i="1"/>
  <c r="T20" i="1" s="1"/>
  <c r="K21" i="1"/>
  <c r="T21" i="1" s="1"/>
  <c r="K2" i="1"/>
  <c r="I4" i="1"/>
  <c r="I5" i="1"/>
  <c r="I6" i="1"/>
  <c r="I7" i="1"/>
  <c r="I8" i="1"/>
  <c r="I10" i="1"/>
  <c r="I11" i="1"/>
  <c r="I12" i="1"/>
  <c r="I13" i="1"/>
  <c r="I15" i="1"/>
  <c r="I16" i="1"/>
  <c r="I18" i="1"/>
  <c r="I20" i="1"/>
  <c r="I21" i="1"/>
  <c r="I2" i="1"/>
  <c r="H4" i="1"/>
  <c r="H5" i="1"/>
  <c r="H6" i="1"/>
  <c r="S6" i="1" s="1"/>
  <c r="H7" i="1"/>
  <c r="S7" i="1" s="1"/>
  <c r="H8" i="1"/>
  <c r="H10" i="1"/>
  <c r="H11" i="1"/>
  <c r="H12" i="1"/>
  <c r="H13" i="1"/>
  <c r="H15" i="1"/>
  <c r="H16" i="1"/>
  <c r="S16" i="1" s="1"/>
  <c r="H18" i="1"/>
  <c r="S18" i="1" s="1"/>
  <c r="H20" i="1"/>
  <c r="H21" i="1"/>
  <c r="H2" i="1"/>
  <c r="N43" i="1" l="1"/>
  <c r="T6" i="1"/>
  <c r="O47" i="1"/>
  <c r="F28" i="1"/>
  <c r="Q35" i="1"/>
  <c r="R12" i="1"/>
  <c r="R11" i="1"/>
  <c r="R21" i="1"/>
  <c r="R10" i="1"/>
  <c r="R15" i="1"/>
  <c r="R5" i="1"/>
  <c r="R13" i="1"/>
  <c r="V11" i="1"/>
  <c r="Z11" i="1"/>
  <c r="X11" i="1"/>
  <c r="Y11" i="1"/>
  <c r="AA11" i="1"/>
  <c r="S15" i="1"/>
  <c r="V3" i="1"/>
  <c r="Z3" i="1"/>
  <c r="X3" i="1"/>
  <c r="AA3" i="1"/>
  <c r="Y3" i="1"/>
  <c r="R20" i="1"/>
  <c r="V17" i="1"/>
  <c r="AA17" i="1"/>
  <c r="Z17" i="1"/>
  <c r="X17" i="1"/>
  <c r="Y17" i="1"/>
  <c r="V9" i="1"/>
  <c r="Z9" i="1"/>
  <c r="X9" i="1"/>
  <c r="Y9" i="1"/>
  <c r="AA9" i="1"/>
  <c r="V16" i="1"/>
  <c r="Z16" i="1"/>
  <c r="X16" i="1"/>
  <c r="AA16" i="1"/>
  <c r="Y16" i="1"/>
  <c r="V8" i="1"/>
  <c r="Z8" i="1"/>
  <c r="X8" i="1"/>
  <c r="AA8" i="1"/>
  <c r="Y8" i="1"/>
  <c r="N3" i="1"/>
  <c r="W3" i="1" s="1"/>
  <c r="U7" i="1"/>
  <c r="R8" i="1"/>
  <c r="U8" i="1"/>
  <c r="R16" i="1"/>
  <c r="R6" i="1"/>
  <c r="U4" i="1"/>
  <c r="F29" i="1"/>
  <c r="V15" i="1"/>
  <c r="AA15" i="1"/>
  <c r="Y15" i="1"/>
  <c r="X15" i="1"/>
  <c r="Z15" i="1"/>
  <c r="V7" i="1"/>
  <c r="AA7" i="1"/>
  <c r="Y7" i="1"/>
  <c r="Z7" i="1"/>
  <c r="X7" i="1"/>
  <c r="S5" i="1"/>
  <c r="V18" i="1"/>
  <c r="Z18" i="1"/>
  <c r="X18" i="1"/>
  <c r="AA18" i="1"/>
  <c r="Y18" i="1"/>
  <c r="S10" i="1"/>
  <c r="U12" i="1"/>
  <c r="T12" i="1"/>
  <c r="V2" i="1"/>
  <c r="AA2" i="1"/>
  <c r="Y2" i="1"/>
  <c r="Z2" i="1"/>
  <c r="X2" i="1"/>
  <c r="V14" i="1"/>
  <c r="AA14" i="1"/>
  <c r="Y14" i="1"/>
  <c r="Z14" i="1"/>
  <c r="X14" i="1"/>
  <c r="V6" i="1"/>
  <c r="AA6" i="1"/>
  <c r="Y6" i="1"/>
  <c r="Z6" i="1"/>
  <c r="X6" i="1"/>
  <c r="R2" i="1"/>
  <c r="V19" i="1"/>
  <c r="Y19" i="1"/>
  <c r="Z19" i="1"/>
  <c r="X19" i="1"/>
  <c r="AA19" i="1"/>
  <c r="R4" i="1"/>
  <c r="N44" i="1"/>
  <c r="O48" i="1"/>
  <c r="Q36" i="1"/>
  <c r="T2" i="1"/>
  <c r="V21" i="1"/>
  <c r="Z21" i="1"/>
  <c r="AA21" i="1"/>
  <c r="Y21" i="1"/>
  <c r="X21" i="1"/>
  <c r="V13" i="1"/>
  <c r="X13" i="1"/>
  <c r="AA13" i="1"/>
  <c r="Y13" i="1"/>
  <c r="Z13" i="1"/>
  <c r="V5" i="1"/>
  <c r="AA5" i="1"/>
  <c r="Y5" i="1"/>
  <c r="Z5" i="1"/>
  <c r="X5" i="1"/>
  <c r="V10" i="1"/>
  <c r="Z10" i="1"/>
  <c r="X10" i="1"/>
  <c r="AA10" i="1"/>
  <c r="Y10" i="1"/>
  <c r="V20" i="1"/>
  <c r="AA20" i="1"/>
  <c r="Y20" i="1"/>
  <c r="X20" i="1"/>
  <c r="Z20" i="1"/>
  <c r="V12" i="1"/>
  <c r="AA12" i="1"/>
  <c r="Y12" i="1"/>
  <c r="Z12" i="1"/>
  <c r="X12" i="1"/>
  <c r="V4" i="1"/>
  <c r="AA4" i="1"/>
  <c r="Y4" i="1"/>
  <c r="X4" i="1"/>
  <c r="Z4" i="1"/>
  <c r="N11" i="1"/>
  <c r="W11" i="1" s="1"/>
  <c r="S21" i="1"/>
  <c r="U16" i="1"/>
  <c r="S13" i="1"/>
  <c r="S4" i="1"/>
  <c r="U2" i="1"/>
  <c r="U6" i="1"/>
  <c r="T15" i="1"/>
  <c r="T4" i="1"/>
  <c r="N17" i="1"/>
  <c r="W17" i="1" s="1"/>
  <c r="N9" i="1"/>
  <c r="W9" i="1" s="1"/>
  <c r="S12" i="1"/>
  <c r="T11" i="1"/>
  <c r="U21" i="1"/>
  <c r="U13" i="1"/>
  <c r="U5" i="1"/>
  <c r="R7" i="1"/>
  <c r="N16" i="1"/>
  <c r="W16" i="1" s="1"/>
  <c r="N8" i="1"/>
  <c r="W8" i="1" s="1"/>
  <c r="S2" i="1"/>
  <c r="S11" i="1"/>
  <c r="T10" i="1"/>
  <c r="U20" i="1"/>
  <c r="N15" i="1"/>
  <c r="W15" i="1" s="1"/>
  <c r="N7" i="1"/>
  <c r="W7" i="1" s="1"/>
  <c r="N2" i="1"/>
  <c r="W2" i="1" s="1"/>
  <c r="N14" i="1"/>
  <c r="W14" i="1" s="1"/>
  <c r="N6" i="1"/>
  <c r="W6" i="1" s="1"/>
  <c r="S20" i="1"/>
  <c r="S8" i="1"/>
  <c r="T18" i="1"/>
  <c r="R18" i="1"/>
  <c r="B29" i="1" l="1"/>
  <c r="B30" i="1"/>
</calcChain>
</file>

<file path=xl/sharedStrings.xml><?xml version="1.0" encoding="utf-8"?>
<sst xmlns="http://schemas.openxmlformats.org/spreadsheetml/2006/main" count="156" uniqueCount="82">
  <si>
    <t>DATE</t>
  </si>
  <si>
    <t>NAME</t>
  </si>
  <si>
    <t>AGE</t>
  </si>
  <si>
    <t>TEENAGE</t>
  </si>
  <si>
    <t>UNDERAGE</t>
  </si>
  <si>
    <t>ID</t>
  </si>
  <si>
    <t>Esra Abdi     ali</t>
  </si>
  <si>
    <t>Mustaphe Ismail moha</t>
  </si>
  <si>
    <t>BLOOD_TYPE</t>
  </si>
  <si>
    <t>A-</t>
  </si>
  <si>
    <t>O+</t>
  </si>
  <si>
    <t>A+</t>
  </si>
  <si>
    <t>AB-</t>
  </si>
  <si>
    <t>AB+</t>
  </si>
  <si>
    <t>CONDITION</t>
  </si>
  <si>
    <t>Patient</t>
  </si>
  <si>
    <t>Jawhar Osman      IssE</t>
  </si>
  <si>
    <t>Aisha Ali Warsame</t>
  </si>
  <si>
    <t>Hodan Hussein hassan</t>
  </si>
  <si>
    <t>Amina Xoosh Guura</t>
  </si>
  <si>
    <t>Faisal Aden Geedi</t>
  </si>
  <si>
    <t>Warsame Isse  OsmAn</t>
  </si>
  <si>
    <t xml:space="preserve">     abdirahman Abdi Ali</t>
  </si>
  <si>
    <t>Ali AHMED      Hussein</t>
  </si>
  <si>
    <t>Sainab Ahmed Haji</t>
  </si>
  <si>
    <t>Igal Gelle Shire</t>
  </si>
  <si>
    <t>B_SUGAR</t>
  </si>
  <si>
    <t>SUGAR(-,+)</t>
  </si>
  <si>
    <t>TRIM</t>
  </si>
  <si>
    <t>PROPER</t>
  </si>
  <si>
    <t>SUM</t>
  </si>
  <si>
    <t>AVG Sugar</t>
  </si>
  <si>
    <t>COUNTBLANK</t>
  </si>
  <si>
    <t>ISBLANK</t>
  </si>
  <si>
    <t>MIN Sugar</t>
  </si>
  <si>
    <t>MAX Sugar</t>
  </si>
  <si>
    <t>LEN</t>
  </si>
  <si>
    <t>AND</t>
  </si>
  <si>
    <t>OR</t>
  </si>
  <si>
    <t>XOR</t>
  </si>
  <si>
    <t>CONCAT</t>
  </si>
  <si>
    <t>COUNTA</t>
  </si>
  <si>
    <t xml:space="preserve">COUNT </t>
  </si>
  <si>
    <t>MODE Sugar</t>
  </si>
  <si>
    <t>DAY</t>
  </si>
  <si>
    <t>Wednesday</t>
  </si>
  <si>
    <t>Thursday</t>
  </si>
  <si>
    <t>Friday</t>
  </si>
  <si>
    <t>Saturday</t>
  </si>
  <si>
    <t>Sunday</t>
  </si>
  <si>
    <t>Monday</t>
  </si>
  <si>
    <t>Tuesday</t>
  </si>
  <si>
    <t>MID</t>
  </si>
  <si>
    <t>IFERROR(MID)</t>
  </si>
  <si>
    <t>SUMIF</t>
  </si>
  <si>
    <t>B_TYPE</t>
  </si>
  <si>
    <t>O-</t>
  </si>
  <si>
    <t>RAND</t>
  </si>
  <si>
    <t>POSITIVE</t>
  </si>
  <si>
    <t>NEGATIVE</t>
  </si>
  <si>
    <t>SUMIFS</t>
  </si>
  <si>
    <t>LEFT</t>
  </si>
  <si>
    <t>RIGHT</t>
  </si>
  <si>
    <t>LOWER</t>
  </si>
  <si>
    <t>UPPER</t>
  </si>
  <si>
    <t>AVG-IF</t>
  </si>
  <si>
    <t>AVG-IFS</t>
  </si>
  <si>
    <t>YES</t>
  </si>
  <si>
    <t>NO</t>
  </si>
  <si>
    <t>COUNTIF</t>
  </si>
  <si>
    <t>B-SUGAR</t>
  </si>
  <si>
    <t>COUNTIFS</t>
  </si>
  <si>
    <t>TODAY</t>
  </si>
  <si>
    <t>NOW</t>
  </si>
  <si>
    <t>YEAR</t>
  </si>
  <si>
    <t>MONTH</t>
  </si>
  <si>
    <t>Search ID</t>
  </si>
  <si>
    <t>Name</t>
  </si>
  <si>
    <t>VLOOKUP</t>
  </si>
  <si>
    <t>Hussein abdi       mUSe</t>
  </si>
  <si>
    <t>Hamdi Jaylani   Arab</t>
  </si>
  <si>
    <t>Laila ABDIrahman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</si>
</sst>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6" borderId="0" applyNumberFormat="0" applyBorder="0" applyAlignment="0" applyProtection="0"/>
    <xf numFmtId="0" fontId="3" fillId="7" borderId="5" applyNumberFormat="0" applyAlignment="0" applyProtection="0"/>
  </cellStyleXfs>
  <cellXfs count="46">
    <xf numFmtId="0" fontId="0" fillId="0" borderId="0" xfId="0"/>
    <xf numFmtId="0" fontId="0" fillId="0" borderId="0" xfId="0" applyBorder="1"/>
    <xf numFmtId="14" fontId="0" fillId="0" borderId="1" xfId="0" applyNumberFormat="1" applyBorder="1"/>
    <xf numFmtId="0" fontId="0" fillId="0" borderId="1" xfId="0" applyBorder="1"/>
    <xf numFmtId="0" fontId="1" fillId="3" borderId="1" xfId="0" applyFont="1" applyFill="1" applyBorder="1"/>
    <xf numFmtId="0" fontId="0" fillId="4" borderId="0" xfId="0" applyFill="1"/>
    <xf numFmtId="0" fontId="0" fillId="4" borderId="1" xfId="0" applyFill="1" applyBorder="1"/>
    <xf numFmtId="0" fontId="1" fillId="3" borderId="3" xfId="0" applyFont="1" applyFill="1" applyBorder="1"/>
    <xf numFmtId="0" fontId="0" fillId="0" borderId="2" xfId="0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8" borderId="4" xfId="0" applyFill="1" applyBorder="1"/>
    <xf numFmtId="0" fontId="0" fillId="8" borderId="1" xfId="0" applyFill="1" applyBorder="1"/>
    <xf numFmtId="0" fontId="0" fillId="9" borderId="1" xfId="0" applyFill="1" applyBorder="1"/>
    <xf numFmtId="22" fontId="0" fillId="0" borderId="1" xfId="0" applyNumberFormat="1" applyBorder="1"/>
    <xf numFmtId="0" fontId="0" fillId="0" borderId="10" xfId="0" applyBorder="1" applyAlignment="1">
      <alignment horizontal="right"/>
    </xf>
    <xf numFmtId="14" fontId="0" fillId="0" borderId="11" xfId="0" applyNumberFormat="1" applyBorder="1"/>
    <xf numFmtId="0" fontId="0" fillId="0" borderId="11" xfId="0" applyBorder="1"/>
    <xf numFmtId="0" fontId="0" fillId="10" borderId="1" xfId="0" applyFill="1" applyBorder="1"/>
    <xf numFmtId="0" fontId="0" fillId="10" borderId="4" xfId="0" applyFill="1" applyBorder="1"/>
    <xf numFmtId="0" fontId="0" fillId="10" borderId="8" xfId="0" applyFill="1" applyBorder="1"/>
    <xf numFmtId="0" fontId="0" fillId="10" borderId="2" xfId="0" applyFill="1" applyBorder="1"/>
    <xf numFmtId="0" fontId="0" fillId="10" borderId="11" xfId="0" applyFill="1" applyBorder="1"/>
    <xf numFmtId="0" fontId="0" fillId="10" borderId="9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10" xfId="0" applyFill="1" applyBorder="1"/>
    <xf numFmtId="0" fontId="0" fillId="3" borderId="11" xfId="0" applyFill="1" applyBorder="1"/>
    <xf numFmtId="0" fontId="0" fillId="0" borderId="14" xfId="0" applyBorder="1"/>
    <xf numFmtId="0" fontId="0" fillId="10" borderId="13" xfId="0" applyFill="1" applyBorder="1" applyAlignment="1">
      <alignment horizontal="right"/>
    </xf>
    <xf numFmtId="14" fontId="0" fillId="10" borderId="3" xfId="0" applyNumberFormat="1" applyFill="1" applyBorder="1"/>
    <xf numFmtId="0" fontId="0" fillId="10" borderId="3" xfId="0" applyFill="1" applyBorder="1"/>
    <xf numFmtId="0" fontId="0" fillId="10" borderId="12" xfId="0" applyFill="1" applyBorder="1"/>
    <xf numFmtId="0" fontId="5" fillId="10" borderId="0" xfId="0" applyFont="1" applyFill="1" applyBorder="1"/>
    <xf numFmtId="0" fontId="5" fillId="10" borderId="0" xfId="0" applyFont="1" applyFill="1" applyBorder="1" applyAlignment="1"/>
    <xf numFmtId="0" fontId="0" fillId="0" borderId="0" xfId="0" applyBorder="1" applyAlignment="1">
      <alignment horizontal="right"/>
    </xf>
    <xf numFmtId="14" fontId="0" fillId="0" borderId="0" xfId="0" applyNumberFormat="1" applyBorder="1"/>
    <xf numFmtId="0" fontId="1" fillId="3" borderId="6" xfId="0" applyFont="1" applyFill="1" applyBorder="1"/>
    <xf numFmtId="0" fontId="0" fillId="0" borderId="15" xfId="0" applyBorder="1"/>
    <xf numFmtId="0" fontId="0" fillId="3" borderId="6" xfId="0" applyFont="1" applyFill="1" applyBorder="1"/>
    <xf numFmtId="0" fontId="0" fillId="0" borderId="6" xfId="0" applyBorder="1"/>
    <xf numFmtId="0" fontId="0" fillId="3" borderId="6" xfId="0" applyFill="1" applyBorder="1"/>
    <xf numFmtId="0" fontId="4" fillId="3" borderId="6" xfId="2" applyFont="1" applyFill="1" applyBorder="1"/>
    <xf numFmtId="0" fontId="6" fillId="10" borderId="7" xfId="1" applyFont="1" applyFill="1" applyBorder="1"/>
    <xf numFmtId="0" fontId="6" fillId="10" borderId="9" xfId="1" applyFont="1" applyFill="1" applyBorder="1"/>
  </cellXfs>
  <cellStyles count="3">
    <cellStyle name="Calculation" xfId="2" builtinId="22"/>
    <cellStyle name="Good" xfId="1" builtinId="26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</dxf>
    <dxf>
      <numFmt numFmtId="19" formatCode="m/d/yyyy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Blood Type Distribution</a:t>
            </a:r>
          </a:p>
        </c:rich>
      </c:tx>
      <c:layout>
        <c:manualLayout>
          <c:xMode val="edge"/>
          <c:yMode val="edge"/>
          <c:x val="0.32280991978263551"/>
          <c:y val="4.76369687884080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Sheet1!$K$42</c:f>
              <c:strCache>
                <c:ptCount val="1"/>
                <c:pt idx="0">
                  <c:v>COUNTIF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Sheet1!$J$43:$J$48</c:f>
              <c:strCache>
                <c:ptCount val="6"/>
                <c:pt idx="0">
                  <c:v>O+</c:v>
                </c:pt>
                <c:pt idx="1">
                  <c:v>O-</c:v>
                </c:pt>
                <c:pt idx="2">
                  <c:v>A+</c:v>
                </c:pt>
                <c:pt idx="3">
                  <c:v>A-</c:v>
                </c:pt>
                <c:pt idx="4">
                  <c:v>AB-</c:v>
                </c:pt>
                <c:pt idx="5">
                  <c:v>AB+</c:v>
                </c:pt>
              </c:strCache>
            </c:strRef>
          </c:cat>
          <c:val>
            <c:numRef>
              <c:f>Sheet1!$K$43:$K$48</c:f>
              <c:numCache>
                <c:formatCode>General</c:formatCode>
                <c:ptCount val="6"/>
                <c:pt idx="0">
                  <c:v>7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C-4C06-A07F-D36392156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Blood Sugar By Blood_Type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Sheet1!$O$27:$O$32</c:f>
              <c:strCache>
                <c:ptCount val="6"/>
                <c:pt idx="0">
                  <c:v>O+</c:v>
                </c:pt>
                <c:pt idx="1">
                  <c:v>O-</c:v>
                </c:pt>
                <c:pt idx="2">
                  <c:v>A+</c:v>
                </c:pt>
                <c:pt idx="3">
                  <c:v>A-</c:v>
                </c:pt>
                <c:pt idx="4">
                  <c:v>AB-</c:v>
                </c:pt>
                <c:pt idx="5">
                  <c:v>AB-</c:v>
                </c:pt>
              </c:strCache>
            </c:strRef>
          </c:cat>
          <c:val>
            <c:numRef>
              <c:f>Sheet1!$P$27:$P$32</c:f>
              <c:numCache>
                <c:formatCode>General</c:formatCode>
                <c:ptCount val="6"/>
                <c:pt idx="0">
                  <c:v>193.2</c:v>
                </c:pt>
                <c:pt idx="1">
                  <c:v>190.28571428571428</c:v>
                </c:pt>
                <c:pt idx="2">
                  <c:v>190.28571428571428</c:v>
                </c:pt>
                <c:pt idx="3">
                  <c:v>198.92307692307693</c:v>
                </c:pt>
                <c:pt idx="4">
                  <c:v>196.83333333333334</c:v>
                </c:pt>
                <c:pt idx="5">
                  <c:v>144.18181818181819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0-477B-ABE1-5265A2072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945119"/>
        <c:axId val="34952607"/>
        <c:axId val="0"/>
      </c:bar3DChart>
      <c:catAx>
        <c:axId val="3494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2607"/>
        <c:crosses val="autoZero"/>
        <c:auto val="1"/>
        <c:lblAlgn val="ctr"/>
        <c:lblOffset val="100"/>
        <c:noMultiLvlLbl val="0"/>
      </c:catAx>
      <c:valAx>
        <c:axId val="349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4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678529</xdr:colOff>
      <xdr:row>32</xdr:row>
      <xdr:rowOff>144897</xdr:rowOff>
    </xdr:from>
    <xdr:to>
      <xdr:col>8</xdr:col>
      <xdr:colOff>330254</xdr:colOff>
      <xdr:row>49</xdr:row>
      <xdr:rowOff>181921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743602</xdr:colOff>
      <xdr:row>23</xdr:row>
      <xdr:rowOff>11157</xdr:rowOff>
    </xdr:from>
    <xdr:to>
      <xdr:col>13</xdr:col>
      <xdr:colOff>1452191</xdr:colOff>
      <xdr:row>38</xdr:row>
      <xdr:rowOff>24451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A24:B30" totalsRowShown="0" headerRowDxfId="5" dataDxfId="22" headerRowBorderDxfId="9" tableBorderDxfId="10" totalsRowBorderDxfId="8">
  <autoFilter ref="A24:B30"/>
  <tableColumns count="2">
    <tableColumn id="1" name="B_TYPE" dataDxfId="7"/>
    <tableColumn id="2" name="SUMIF" dataDxfId="6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D27:F29" totalsRowShown="0" headerRowDxfId="21" headerRowBorderDxfId="20" tableBorderDxfId="19" totalsRowBorderDxfId="18">
  <autoFilter ref="D27:F29"/>
  <tableColumns count="3">
    <tableColumn id="1" name="SUGAR(-,+)" dataDxfId="17"/>
    <tableColumn id="2" name="B_TYPE" dataDxfId="16"/>
    <tableColumn id="3" name="SUMIFS" dataDxfId="15">
      <calculatedColumnFormula>SUMIFS(J2:J21,K2:K21,D28,F2:F21,E28)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J42:K48" totalsRowShown="0">
  <autoFilter ref="J42:K48"/>
  <tableColumns count="2">
    <tableColumn id="1" name="B_TYPE"/>
    <tableColumn id="2" name="COUNTIF">
      <calculatedColumnFormula>COUNTIF(F2:F21,J43)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K21" totalsRowShown="0" headerRowDxfId="14">
  <autoFilter ref="A1:K21"/>
  <tableColumns count="11">
    <tableColumn id="1" name="ID" dataDxfId="13"/>
    <tableColumn id="2" name="DATE" dataDxfId="12"/>
    <tableColumn id="3" name="DAY" dataDxfId="11"/>
    <tableColumn id="4" name="NAME"/>
    <tableColumn id="5" name="AGE"/>
    <tableColumn id="6" name="BLOOD_TYPE"/>
    <tableColumn id="7" name="CONDITION"/>
    <tableColumn id="8" name="TEENAGE"/>
    <tableColumn id="9" name="UNDERAGE"/>
    <tableColumn id="10" name="B_SUGAR"/>
    <tableColumn id="11" name="SUGAR(-,+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L1" zoomScale="70" zoomScaleNormal="70" workbookViewId="0">
      <selection activeCell="M1" sqref="M1:AB22"/>
    </sheetView>
  </sheetViews>
  <sheetFormatPr defaultRowHeight="14.5" x14ac:dyDescent="0.35"/>
  <cols>
    <col min="1" max="1" width="9.1796875" customWidth="1"/>
    <col min="2" max="2" width="16.26953125" customWidth="1"/>
    <col min="3" max="3" width="11.1796875" customWidth="1"/>
    <col min="4" max="4" width="20.453125" customWidth="1"/>
    <col min="5" max="5" width="10.54296875" customWidth="1"/>
    <col min="6" max="6" width="16.7265625" customWidth="1"/>
    <col min="7" max="7" width="15.90625" customWidth="1"/>
    <col min="8" max="8" width="13.90625" customWidth="1"/>
    <col min="9" max="9" width="14.26953125" customWidth="1"/>
    <col min="10" max="10" width="12.81640625" customWidth="1"/>
    <col min="11" max="11" width="14.36328125" customWidth="1"/>
    <col min="13" max="13" width="19.36328125" customWidth="1"/>
    <col min="14" max="14" width="21.90625" customWidth="1"/>
    <col min="15" max="15" width="13.7265625" customWidth="1"/>
    <col min="17" max="17" width="11.1796875" customWidth="1"/>
    <col min="19" max="19" width="13.26953125" customWidth="1"/>
    <col min="20" max="20" width="16" customWidth="1"/>
    <col min="21" max="21" width="12" customWidth="1"/>
    <col min="22" max="22" width="8.7265625" customWidth="1"/>
    <col min="23" max="23" width="14.26953125" customWidth="1"/>
    <col min="26" max="26" width="21.7265625" customWidth="1"/>
    <col min="27" max="27" width="24.453125" bestFit="1" customWidth="1"/>
    <col min="28" max="28" width="16.1796875" customWidth="1"/>
  </cols>
  <sheetData>
    <row r="1" spans="1:28" ht="15.5" x14ac:dyDescent="0.35">
      <c r="A1" s="34" t="s">
        <v>5</v>
      </c>
      <c r="B1" s="34" t="s">
        <v>0</v>
      </c>
      <c r="C1" s="34" t="s">
        <v>44</v>
      </c>
      <c r="D1" s="34" t="s">
        <v>1</v>
      </c>
      <c r="E1" s="34" t="s">
        <v>2</v>
      </c>
      <c r="F1" s="35" t="s">
        <v>8</v>
      </c>
      <c r="G1" s="34" t="s">
        <v>14</v>
      </c>
      <c r="H1" s="34" t="s">
        <v>3</v>
      </c>
      <c r="I1" s="34" t="s">
        <v>4</v>
      </c>
      <c r="J1" s="34" t="s">
        <v>26</v>
      </c>
      <c r="K1" s="34" t="s">
        <v>27</v>
      </c>
      <c r="M1" s="38" t="s">
        <v>28</v>
      </c>
      <c r="N1" s="38" t="s">
        <v>29</v>
      </c>
      <c r="O1" s="38" t="s">
        <v>32</v>
      </c>
      <c r="P1" s="7" t="s">
        <v>33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4" t="s">
        <v>52</v>
      </c>
      <c r="W1" s="4" t="s">
        <v>53</v>
      </c>
      <c r="X1" s="4" t="s">
        <v>61</v>
      </c>
      <c r="Y1" s="4" t="s">
        <v>62</v>
      </c>
      <c r="Z1" s="4" t="s">
        <v>63</v>
      </c>
      <c r="AA1" s="4" t="s">
        <v>64</v>
      </c>
      <c r="AB1" s="4" t="s">
        <v>72</v>
      </c>
    </row>
    <row r="2" spans="1:28" x14ac:dyDescent="0.35">
      <c r="A2" s="36">
        <v>1</v>
      </c>
      <c r="B2" s="37">
        <v>46204</v>
      </c>
      <c r="C2" s="37" t="s">
        <v>45</v>
      </c>
      <c r="D2" s="1" t="s">
        <v>6</v>
      </c>
      <c r="E2" s="1">
        <v>15</v>
      </c>
      <c r="F2" s="1" t="s">
        <v>9</v>
      </c>
      <c r="G2" s="1" t="s">
        <v>15</v>
      </c>
      <c r="H2" s="1" t="str">
        <f>IF(E2&gt;=18,"Yes","No")</f>
        <v>No</v>
      </c>
      <c r="I2" s="1" t="str">
        <f>IF(E2&lt;18,"Yes","No")</f>
        <v>Yes</v>
      </c>
      <c r="J2" s="1">
        <v>234</v>
      </c>
      <c r="K2" s="1" t="str">
        <f>IF(J2&lt;=140,"NEGATIVE","POSITIVE")</f>
        <v>POSITIVE</v>
      </c>
      <c r="M2" s="19" t="str">
        <f>TRIM(D2)</f>
        <v>Esra Abdi ali</v>
      </c>
      <c r="N2" s="19" t="str">
        <f>PROPER(M2)</f>
        <v>Esra Abdi Ali</v>
      </c>
      <c r="O2" s="39">
        <f>COUNTBLANK(D2:D21)</f>
        <v>5</v>
      </c>
      <c r="P2" s="3" t="b">
        <f>ISBLANK(D2:D21)</f>
        <v>0</v>
      </c>
      <c r="Q2" s="3">
        <f>LEN(D2)</f>
        <v>17</v>
      </c>
      <c r="R2" s="3" t="b">
        <f>AND(H2="Yes",K2="Positive")</f>
        <v>0</v>
      </c>
      <c r="S2" s="3" t="b">
        <f>OR(F2="O-",H2="Yes")</f>
        <v>0</v>
      </c>
      <c r="T2" s="3" t="b">
        <f>_xlfn.XOR(J2&lt;=140,K2="NEGATIVE")</f>
        <v>0</v>
      </c>
      <c r="U2" s="3" t="str">
        <f>CONCATENATE(J2,"-",K2)</f>
        <v>234-POSITIVE</v>
      </c>
      <c r="V2" s="3" t="str">
        <f>MID(M2,FIND(" ",M2)+1,4)</f>
        <v>Abdi</v>
      </c>
      <c r="W2" s="3" t="str">
        <f>IFERROR(MID(N2,FIND(" ",N2)+1,4)," ")</f>
        <v>Abdi</v>
      </c>
      <c r="X2" s="3" t="str">
        <f>LEFT(M2)</f>
        <v>E</v>
      </c>
      <c r="Y2" s="3" t="str">
        <f>RIGHT(M2)</f>
        <v>i</v>
      </c>
      <c r="Z2" s="3" t="str">
        <f>LOWER(M2)</f>
        <v>esra abdi ali</v>
      </c>
      <c r="AA2" s="3" t="str">
        <f>UPPER(M2)</f>
        <v>ESRA ABDI ALI</v>
      </c>
      <c r="AB2" s="2">
        <f ca="1">TODAY()</f>
        <v>46212</v>
      </c>
    </row>
    <row r="3" spans="1:28" x14ac:dyDescent="0.35">
      <c r="A3" s="36">
        <v>2</v>
      </c>
      <c r="B3" s="37">
        <v>46205</v>
      </c>
      <c r="C3" s="37" t="s">
        <v>46</v>
      </c>
      <c r="D3" s="1"/>
      <c r="E3" s="1"/>
      <c r="F3" s="1"/>
      <c r="G3" s="1"/>
      <c r="H3" s="1"/>
      <c r="I3" s="1"/>
      <c r="J3" s="1"/>
      <c r="K3" s="1"/>
      <c r="M3" s="19" t="str">
        <f t="shared" ref="M3:M21" si="0">TRIM(D3)</f>
        <v/>
      </c>
      <c r="N3" s="19" t="str">
        <f>PROPER(M3)</f>
        <v/>
      </c>
      <c r="O3" s="29"/>
      <c r="P3" s="3"/>
      <c r="Q3" s="3"/>
      <c r="R3" s="3"/>
      <c r="S3" s="3"/>
      <c r="T3" s="3"/>
      <c r="U3" s="3" t="str">
        <f t="shared" ref="U3:U21" si="1">CONCATENATE(J3,"-",K3)</f>
        <v>-</v>
      </c>
      <c r="V3" s="3" t="e">
        <f>MID(M3,FIND(" ",M3)+1,4)</f>
        <v>#VALUE!</v>
      </c>
      <c r="W3" s="3" t="str">
        <f t="shared" ref="W3:W21" si="2">IFERROR(MID(N3,FIND(" ",N3)+1,4)," ")</f>
        <v xml:space="preserve"> </v>
      </c>
      <c r="X3" s="3" t="str">
        <f>LEFT(M3)</f>
        <v/>
      </c>
      <c r="Y3" s="3" t="str">
        <f>RIGHT(M3)</f>
        <v/>
      </c>
      <c r="Z3" s="3" t="str">
        <f>LOWER(M3)</f>
        <v/>
      </c>
      <c r="AA3" s="3" t="str">
        <f>UPPER(M3)</f>
        <v/>
      </c>
    </row>
    <row r="4" spans="1:28" ht="15.5" x14ac:dyDescent="0.35">
      <c r="A4" s="36">
        <v>3</v>
      </c>
      <c r="B4" s="37">
        <v>46206</v>
      </c>
      <c r="C4" s="37" t="s">
        <v>47</v>
      </c>
      <c r="D4" s="1" t="s">
        <v>81</v>
      </c>
      <c r="E4" s="1">
        <v>12</v>
      </c>
      <c r="F4" s="1" t="s">
        <v>9</v>
      </c>
      <c r="G4" s="1" t="s">
        <v>15</v>
      </c>
      <c r="H4" s="1" t="str">
        <f t="shared" ref="H4:H21" si="3">IF(E4&gt;=18,"Yes","No")</f>
        <v>No</v>
      </c>
      <c r="I4" s="1" t="str">
        <f t="shared" ref="I4:I21" si="4">IF(E4&lt;18,"Yes","No")</f>
        <v>Yes</v>
      </c>
      <c r="J4" s="1">
        <v>78</v>
      </c>
      <c r="K4" s="1" t="str">
        <f t="shared" ref="K4:K21" si="5">IF(J4&lt;=140,"NEGATIVE","POSITIVE")</f>
        <v>NEGATIVE</v>
      </c>
      <c r="M4" s="19" t="str">
        <f t="shared" si="0"/>
        <v>Laila ABDIrahman Ali</v>
      </c>
      <c r="N4" s="19" t="str">
        <f t="shared" ref="N4:N21" si="6">PROPER(M4)</f>
        <v>Laila Abdirahman Ali</v>
      </c>
      <c r="O4" s="1"/>
      <c r="P4" s="3" t="b">
        <f>ISBLANK(D4:D23)</f>
        <v>0</v>
      </c>
      <c r="Q4" s="3">
        <f t="shared" ref="Q4:Q21" si="7">LEN(D4)</f>
        <v>20</v>
      </c>
      <c r="R4" s="3" t="b">
        <f t="shared" ref="R4:R21" si="8">AND(H4="Yes",K4="Positive")</f>
        <v>0</v>
      </c>
      <c r="S4" s="3" t="b">
        <f t="shared" ref="S4:S21" si="9">OR(F4="O-",H4="Yes")</f>
        <v>0</v>
      </c>
      <c r="T4" s="3" t="b">
        <f t="shared" ref="T4:T21" si="10">_xlfn.XOR(J4&lt;=140,K4="NEGATIVE")</f>
        <v>0</v>
      </c>
      <c r="U4" s="3" t="str">
        <f t="shared" si="1"/>
        <v>78-NEGATIVE</v>
      </c>
      <c r="V4" s="3" t="str">
        <f t="shared" ref="V4:V21" si="11">MID(M4,FIND(" ",M4)+1,4)</f>
        <v>ABDI</v>
      </c>
      <c r="W4" s="3" t="str">
        <f t="shared" si="2"/>
        <v>Abdi</v>
      </c>
      <c r="X4" s="3" t="str">
        <f t="shared" ref="X4:X21" si="12">LEFT(M4)</f>
        <v>L</v>
      </c>
      <c r="Y4" s="3" t="str">
        <f t="shared" ref="Y4:Y21" si="13">RIGHT(M4)</f>
        <v>i</v>
      </c>
      <c r="Z4" s="3" t="str">
        <f t="shared" ref="Z4:Z21" si="14">LOWER(M4)</f>
        <v>laila abdirahman ali</v>
      </c>
      <c r="AA4" s="3" t="str">
        <f t="shared" ref="AA4:AA21" si="15">UPPER(M4)</f>
        <v>LAILA ABDIRAHMAN ALI</v>
      </c>
      <c r="AB4" s="4" t="s">
        <v>73</v>
      </c>
    </row>
    <row r="5" spans="1:28" x14ac:dyDescent="0.35">
      <c r="A5" s="36">
        <v>4</v>
      </c>
      <c r="B5" s="37">
        <v>46207</v>
      </c>
      <c r="C5" s="37" t="s">
        <v>48</v>
      </c>
      <c r="D5" s="1" t="s">
        <v>7</v>
      </c>
      <c r="E5" s="1">
        <v>11</v>
      </c>
      <c r="F5" s="1" t="s">
        <v>10</v>
      </c>
      <c r="G5" s="1" t="s">
        <v>15</v>
      </c>
      <c r="H5" s="1" t="str">
        <f t="shared" si="3"/>
        <v>No</v>
      </c>
      <c r="I5" s="1" t="str">
        <f t="shared" si="4"/>
        <v>Yes</v>
      </c>
      <c r="J5" s="1">
        <v>224</v>
      </c>
      <c r="K5" s="1" t="str">
        <f t="shared" si="5"/>
        <v>POSITIVE</v>
      </c>
      <c r="M5" s="19" t="str">
        <f t="shared" si="0"/>
        <v>Mustaphe Ismail moha</v>
      </c>
      <c r="N5" s="19" t="str">
        <f t="shared" si="6"/>
        <v>Mustaphe Ismail Moha</v>
      </c>
      <c r="O5" s="1"/>
      <c r="P5" s="3" t="b">
        <f>ISBLANK(D5:D23)</f>
        <v>0</v>
      </c>
      <c r="Q5" s="3">
        <f t="shared" si="7"/>
        <v>20</v>
      </c>
      <c r="R5" s="3" t="b">
        <f t="shared" si="8"/>
        <v>0</v>
      </c>
      <c r="S5" s="3" t="b">
        <f t="shared" si="9"/>
        <v>0</v>
      </c>
      <c r="T5" s="3" t="b">
        <f t="shared" si="10"/>
        <v>0</v>
      </c>
      <c r="U5" s="3" t="str">
        <f t="shared" si="1"/>
        <v>224-POSITIVE</v>
      </c>
      <c r="V5" s="3" t="str">
        <f t="shared" si="11"/>
        <v>Isma</v>
      </c>
      <c r="W5" s="3" t="str">
        <f t="shared" si="2"/>
        <v>Isma</v>
      </c>
      <c r="X5" s="3" t="str">
        <f t="shared" si="12"/>
        <v>M</v>
      </c>
      <c r="Y5" s="3" t="str">
        <f t="shared" si="13"/>
        <v>a</v>
      </c>
      <c r="Z5" s="3" t="str">
        <f t="shared" si="14"/>
        <v>mustaphe ismail moha</v>
      </c>
      <c r="AA5" s="3" t="str">
        <f t="shared" si="15"/>
        <v>MUSTAPHE ISMAIL MOHA</v>
      </c>
      <c r="AB5" s="15">
        <f ca="1">NOW()</f>
        <v>46212.880516087964</v>
      </c>
    </row>
    <row r="6" spans="1:28" x14ac:dyDescent="0.35">
      <c r="A6" s="36">
        <v>5</v>
      </c>
      <c r="B6" s="37">
        <v>46208</v>
      </c>
      <c r="C6" s="37" t="s">
        <v>49</v>
      </c>
      <c r="D6" s="1" t="s">
        <v>16</v>
      </c>
      <c r="E6" s="1">
        <v>43</v>
      </c>
      <c r="F6" s="1" t="s">
        <v>11</v>
      </c>
      <c r="G6" s="1" t="s">
        <v>15</v>
      </c>
      <c r="H6" s="1" t="str">
        <f t="shared" si="3"/>
        <v>Yes</v>
      </c>
      <c r="I6" s="1" t="str">
        <f t="shared" si="4"/>
        <v>No</v>
      </c>
      <c r="J6" s="1">
        <v>776</v>
      </c>
      <c r="K6" s="1" t="str">
        <f t="shared" si="5"/>
        <v>POSITIVE</v>
      </c>
      <c r="M6" s="19" t="str">
        <f t="shared" si="0"/>
        <v>Jawhar Osman IssE</v>
      </c>
      <c r="N6" s="19" t="str">
        <f t="shared" si="6"/>
        <v>Jawhar Osman Isse</v>
      </c>
      <c r="O6" s="1"/>
      <c r="P6" s="3" t="b">
        <f>ISBLANK(D6:D23)</f>
        <v>0</v>
      </c>
      <c r="Q6" s="3">
        <f t="shared" si="7"/>
        <v>22</v>
      </c>
      <c r="R6" s="3" t="b">
        <f t="shared" si="8"/>
        <v>1</v>
      </c>
      <c r="S6" s="3" t="b">
        <f t="shared" si="9"/>
        <v>1</v>
      </c>
      <c r="T6" s="3" t="b">
        <f t="shared" si="10"/>
        <v>0</v>
      </c>
      <c r="U6" s="3" t="str">
        <f t="shared" si="1"/>
        <v>776-POSITIVE</v>
      </c>
      <c r="V6" s="3" t="str">
        <f t="shared" si="11"/>
        <v>Osma</v>
      </c>
      <c r="W6" s="3" t="str">
        <f t="shared" si="2"/>
        <v>Osma</v>
      </c>
      <c r="X6" s="3" t="str">
        <f t="shared" si="12"/>
        <v>J</v>
      </c>
      <c r="Y6" s="3" t="str">
        <f t="shared" si="13"/>
        <v>E</v>
      </c>
      <c r="Z6" s="3" t="str">
        <f t="shared" si="14"/>
        <v>jawhar osman isse</v>
      </c>
      <c r="AA6" s="3" t="str">
        <f t="shared" si="15"/>
        <v>JAWHAR OSMAN ISSE</v>
      </c>
    </row>
    <row r="7" spans="1:28" x14ac:dyDescent="0.35">
      <c r="A7" s="36">
        <v>6</v>
      </c>
      <c r="B7" s="37">
        <v>46209</v>
      </c>
      <c r="C7" s="37" t="s">
        <v>50</v>
      </c>
      <c r="D7" s="1" t="s">
        <v>17</v>
      </c>
      <c r="E7" s="1">
        <v>22</v>
      </c>
      <c r="F7" s="1" t="s">
        <v>12</v>
      </c>
      <c r="G7" s="1" t="s">
        <v>15</v>
      </c>
      <c r="H7" s="1" t="str">
        <f t="shared" si="3"/>
        <v>Yes</v>
      </c>
      <c r="I7" s="1" t="str">
        <f t="shared" si="4"/>
        <v>No</v>
      </c>
      <c r="J7" s="1">
        <v>78</v>
      </c>
      <c r="K7" s="1" t="str">
        <f t="shared" si="5"/>
        <v>NEGATIVE</v>
      </c>
      <c r="M7" s="19" t="str">
        <f t="shared" si="0"/>
        <v>Aisha Ali Warsame</v>
      </c>
      <c r="N7" s="19" t="str">
        <f t="shared" si="6"/>
        <v>Aisha Ali Warsame</v>
      </c>
      <c r="O7" s="40" t="s">
        <v>41</v>
      </c>
      <c r="P7" s="3" t="b">
        <f>ISBLANK(D7:D23)</f>
        <v>0</v>
      </c>
      <c r="Q7" s="3">
        <f t="shared" si="7"/>
        <v>17</v>
      </c>
      <c r="R7" s="3" t="b">
        <f t="shared" si="8"/>
        <v>0</v>
      </c>
      <c r="S7" s="3" t="b">
        <f t="shared" si="9"/>
        <v>1</v>
      </c>
      <c r="T7" s="3" t="b">
        <f t="shared" si="10"/>
        <v>0</v>
      </c>
      <c r="U7" s="3" t="str">
        <f t="shared" si="1"/>
        <v>78-NEGATIVE</v>
      </c>
      <c r="V7" s="3" t="str">
        <f t="shared" si="11"/>
        <v xml:space="preserve">Ali </v>
      </c>
      <c r="W7" s="3" t="str">
        <f t="shared" si="2"/>
        <v xml:space="preserve">Ali </v>
      </c>
      <c r="X7" s="3" t="str">
        <f t="shared" si="12"/>
        <v>A</v>
      </c>
      <c r="Y7" s="3" t="str">
        <f t="shared" si="13"/>
        <v>e</v>
      </c>
      <c r="Z7" s="3" t="str">
        <f t="shared" si="14"/>
        <v>aisha ali warsame</v>
      </c>
      <c r="AA7" s="3" t="str">
        <f t="shared" si="15"/>
        <v>AISHA ALI WARSAME</v>
      </c>
    </row>
    <row r="8" spans="1:28" ht="15.5" x14ac:dyDescent="0.35">
      <c r="A8" s="36">
        <v>7</v>
      </c>
      <c r="B8" s="37">
        <v>46210</v>
      </c>
      <c r="C8" s="37" t="s">
        <v>51</v>
      </c>
      <c r="D8" s="1" t="s">
        <v>18</v>
      </c>
      <c r="E8" s="1">
        <v>56</v>
      </c>
      <c r="F8" s="1" t="s">
        <v>9</v>
      </c>
      <c r="G8" s="1" t="s">
        <v>15</v>
      </c>
      <c r="H8" s="1" t="str">
        <f t="shared" si="3"/>
        <v>Yes</v>
      </c>
      <c r="I8" s="1" t="str">
        <f t="shared" si="4"/>
        <v>No</v>
      </c>
      <c r="J8" s="1">
        <v>143</v>
      </c>
      <c r="K8" s="1" t="str">
        <f t="shared" si="5"/>
        <v>POSITIVE</v>
      </c>
      <c r="M8" s="19" t="str">
        <f t="shared" si="0"/>
        <v>Hodan Hussein hassan</v>
      </c>
      <c r="N8" s="19" t="str">
        <f t="shared" si="6"/>
        <v>Hodan Hussein Hassan</v>
      </c>
      <c r="O8" s="41">
        <f>COUNTA(D2:D21)</f>
        <v>15</v>
      </c>
      <c r="P8" s="3" t="b">
        <f>ISBLANK(D8:D23)</f>
        <v>0</v>
      </c>
      <c r="Q8" s="3">
        <f t="shared" si="7"/>
        <v>20</v>
      </c>
      <c r="R8" s="3" t="b">
        <f t="shared" si="8"/>
        <v>1</v>
      </c>
      <c r="S8" s="3" t="b">
        <f t="shared" si="9"/>
        <v>1</v>
      </c>
      <c r="T8" s="3" t="b">
        <f t="shared" si="10"/>
        <v>0</v>
      </c>
      <c r="U8" s="3" t="str">
        <f t="shared" si="1"/>
        <v>143-POSITIVE</v>
      </c>
      <c r="V8" s="3" t="str">
        <f t="shared" si="11"/>
        <v>Huss</v>
      </c>
      <c r="W8" s="3" t="str">
        <f t="shared" si="2"/>
        <v>Huss</v>
      </c>
      <c r="X8" s="3" t="str">
        <f t="shared" si="12"/>
        <v>H</v>
      </c>
      <c r="Y8" s="3" t="str">
        <f t="shared" si="13"/>
        <v>n</v>
      </c>
      <c r="Z8" s="3" t="str">
        <f t="shared" si="14"/>
        <v>hodan hussein hassan</v>
      </c>
      <c r="AA8" s="3" t="str">
        <f t="shared" si="15"/>
        <v>HODAN HUSSEIN HASSAN</v>
      </c>
      <c r="AB8" s="4" t="s">
        <v>74</v>
      </c>
    </row>
    <row r="9" spans="1:28" x14ac:dyDescent="0.35">
      <c r="A9" s="36">
        <v>8</v>
      </c>
      <c r="B9" s="37">
        <v>46211</v>
      </c>
      <c r="C9" s="37" t="s">
        <v>45</v>
      </c>
      <c r="D9" s="1"/>
      <c r="E9" s="1"/>
      <c r="F9" s="1"/>
      <c r="G9" s="1"/>
      <c r="H9" s="1"/>
      <c r="I9" s="1"/>
      <c r="J9" s="1"/>
      <c r="K9" s="1"/>
      <c r="M9" s="19" t="str">
        <f t="shared" si="0"/>
        <v/>
      </c>
      <c r="N9" s="19" t="str">
        <f t="shared" si="6"/>
        <v/>
      </c>
      <c r="O9" s="41"/>
      <c r="P9" s="3"/>
      <c r="Q9" s="3"/>
      <c r="R9" s="3"/>
      <c r="S9" s="3"/>
      <c r="T9" s="3"/>
      <c r="U9" s="3" t="str">
        <f t="shared" si="1"/>
        <v>-</v>
      </c>
      <c r="V9" s="3" t="e">
        <f t="shared" si="11"/>
        <v>#VALUE!</v>
      </c>
      <c r="W9" s="3" t="str">
        <f t="shared" si="2"/>
        <v xml:space="preserve"> </v>
      </c>
      <c r="X9" s="3" t="str">
        <f t="shared" si="12"/>
        <v/>
      </c>
      <c r="Y9" s="3" t="str">
        <f t="shared" si="13"/>
        <v/>
      </c>
      <c r="Z9" s="3" t="str">
        <f t="shared" si="14"/>
        <v/>
      </c>
      <c r="AA9" s="3" t="str">
        <f t="shared" si="15"/>
        <v/>
      </c>
      <c r="AB9" s="3">
        <f>YEAR(B2:B21)</f>
        <v>2026</v>
      </c>
    </row>
    <row r="10" spans="1:28" x14ac:dyDescent="0.35">
      <c r="A10" s="36">
        <v>9</v>
      </c>
      <c r="B10" s="37">
        <v>46212</v>
      </c>
      <c r="C10" s="37" t="s">
        <v>46</v>
      </c>
      <c r="D10" s="1" t="s">
        <v>19</v>
      </c>
      <c r="E10" s="1">
        <v>10</v>
      </c>
      <c r="F10" s="1" t="s">
        <v>10</v>
      </c>
      <c r="G10" s="1" t="s">
        <v>15</v>
      </c>
      <c r="H10" s="1" t="str">
        <f t="shared" si="3"/>
        <v>No</v>
      </c>
      <c r="I10" s="1" t="str">
        <f t="shared" si="4"/>
        <v>Yes</v>
      </c>
      <c r="J10" s="1">
        <v>122</v>
      </c>
      <c r="K10" s="1" t="str">
        <f t="shared" si="5"/>
        <v>NEGATIVE</v>
      </c>
      <c r="M10" s="19" t="str">
        <f t="shared" si="0"/>
        <v>Amina Xoosh Guura</v>
      </c>
      <c r="N10" s="19" t="str">
        <f t="shared" si="6"/>
        <v>Amina Xoosh Guura</v>
      </c>
      <c r="O10" s="42" t="s">
        <v>42</v>
      </c>
      <c r="P10" s="3" t="b">
        <f>ISBLANK(D10:D23)</f>
        <v>0</v>
      </c>
      <c r="Q10" s="3">
        <f t="shared" si="7"/>
        <v>17</v>
      </c>
      <c r="R10" s="3" t="b">
        <f t="shared" si="8"/>
        <v>0</v>
      </c>
      <c r="S10" s="3" t="b">
        <f t="shared" si="9"/>
        <v>0</v>
      </c>
      <c r="T10" s="3" t="b">
        <f t="shared" si="10"/>
        <v>0</v>
      </c>
      <c r="U10" s="3" t="str">
        <f t="shared" si="1"/>
        <v>122-NEGATIVE</v>
      </c>
      <c r="V10" s="3" t="str">
        <f t="shared" si="11"/>
        <v>Xoos</v>
      </c>
      <c r="W10" s="3" t="str">
        <f t="shared" si="2"/>
        <v>Xoos</v>
      </c>
      <c r="X10" s="3" t="str">
        <f t="shared" si="12"/>
        <v>A</v>
      </c>
      <c r="Y10" s="3" t="str">
        <f t="shared" si="13"/>
        <v>a</v>
      </c>
      <c r="Z10" s="3" t="str">
        <f t="shared" si="14"/>
        <v>amina xoosh guura</v>
      </c>
      <c r="AA10" s="3" t="str">
        <f t="shared" si="15"/>
        <v>AMINA XOOSH GUURA</v>
      </c>
    </row>
    <row r="11" spans="1:28" ht="15.5" x14ac:dyDescent="0.35">
      <c r="A11" s="36">
        <v>10</v>
      </c>
      <c r="B11" s="37">
        <v>46213</v>
      </c>
      <c r="C11" s="37" t="s">
        <v>47</v>
      </c>
      <c r="D11" s="1" t="s">
        <v>20</v>
      </c>
      <c r="E11" s="1">
        <v>45</v>
      </c>
      <c r="F11" s="1" t="s">
        <v>10</v>
      </c>
      <c r="G11" s="1" t="s">
        <v>15</v>
      </c>
      <c r="H11" s="1" t="str">
        <f t="shared" si="3"/>
        <v>Yes</v>
      </c>
      <c r="I11" s="1" t="str">
        <f t="shared" si="4"/>
        <v>No</v>
      </c>
      <c r="J11" s="1">
        <v>186</v>
      </c>
      <c r="K11" s="1" t="str">
        <f t="shared" si="5"/>
        <v>POSITIVE</v>
      </c>
      <c r="M11" s="19" t="str">
        <f t="shared" si="0"/>
        <v>Faisal Aden Geedi</v>
      </c>
      <c r="N11" s="19" t="str">
        <f t="shared" si="6"/>
        <v>Faisal Aden Geedi</v>
      </c>
      <c r="O11" s="41">
        <f>COUNT(E2:E21)</f>
        <v>15</v>
      </c>
      <c r="P11" s="3" t="b">
        <f>ISBLANK(D11:D23)</f>
        <v>0</v>
      </c>
      <c r="Q11" s="3">
        <f t="shared" si="7"/>
        <v>17</v>
      </c>
      <c r="R11" s="3" t="b">
        <f t="shared" si="8"/>
        <v>1</v>
      </c>
      <c r="S11" s="3" t="b">
        <f t="shared" si="9"/>
        <v>1</v>
      </c>
      <c r="T11" s="3" t="b">
        <f t="shared" si="10"/>
        <v>0</v>
      </c>
      <c r="U11" s="3" t="str">
        <f t="shared" si="1"/>
        <v>186-POSITIVE</v>
      </c>
      <c r="V11" s="3" t="str">
        <f t="shared" si="11"/>
        <v>Aden</v>
      </c>
      <c r="W11" s="3" t="str">
        <f t="shared" si="2"/>
        <v>Aden</v>
      </c>
      <c r="X11" s="3" t="str">
        <f t="shared" si="12"/>
        <v>F</v>
      </c>
      <c r="Y11" s="3" t="str">
        <f t="shared" si="13"/>
        <v>i</v>
      </c>
      <c r="Z11" s="3" t="str">
        <f t="shared" si="14"/>
        <v>faisal aden geedi</v>
      </c>
      <c r="AA11" s="3" t="str">
        <f t="shared" si="15"/>
        <v>FAISAL ADEN GEEDI</v>
      </c>
      <c r="AB11" s="4" t="s">
        <v>75</v>
      </c>
    </row>
    <row r="12" spans="1:28" x14ac:dyDescent="0.35">
      <c r="A12" s="36">
        <v>11</v>
      </c>
      <c r="B12" s="37">
        <v>46214</v>
      </c>
      <c r="C12" s="37" t="s">
        <v>48</v>
      </c>
      <c r="D12" s="1" t="s">
        <v>21</v>
      </c>
      <c r="E12" s="1">
        <v>9</v>
      </c>
      <c r="F12" s="1" t="s">
        <v>10</v>
      </c>
      <c r="G12" s="1" t="s">
        <v>15</v>
      </c>
      <c r="H12" s="1" t="str">
        <f t="shared" si="3"/>
        <v>No</v>
      </c>
      <c r="I12" s="1" t="str">
        <f t="shared" si="4"/>
        <v>Yes</v>
      </c>
      <c r="J12" s="1">
        <v>154</v>
      </c>
      <c r="K12" s="1" t="str">
        <f t="shared" si="5"/>
        <v>POSITIVE</v>
      </c>
      <c r="M12" s="19" t="str">
        <f t="shared" si="0"/>
        <v>Warsame Isse OsmAn</v>
      </c>
      <c r="N12" s="19" t="str">
        <f t="shared" si="6"/>
        <v>Warsame Isse Osman</v>
      </c>
      <c r="O12" s="1"/>
      <c r="P12" s="3" t="b">
        <f>ISBLANK(D12:D32)</f>
        <v>0</v>
      </c>
      <c r="Q12" s="3">
        <f t="shared" si="7"/>
        <v>19</v>
      </c>
      <c r="R12" s="3" t="b">
        <f t="shared" si="8"/>
        <v>0</v>
      </c>
      <c r="S12" s="3" t="b">
        <f t="shared" si="9"/>
        <v>0</v>
      </c>
      <c r="T12" s="3" t="b">
        <f>_xlfn.XOR(J12&lt;=140,K12="NEGATIVE")</f>
        <v>0</v>
      </c>
      <c r="U12" s="3" t="str">
        <f t="shared" si="1"/>
        <v>154-POSITIVE</v>
      </c>
      <c r="V12" s="3" t="str">
        <f t="shared" si="11"/>
        <v>Isse</v>
      </c>
      <c r="W12" s="3" t="str">
        <f t="shared" si="2"/>
        <v>Isse</v>
      </c>
      <c r="X12" s="3" t="str">
        <f t="shared" si="12"/>
        <v>W</v>
      </c>
      <c r="Y12" s="3" t="str">
        <f t="shared" si="13"/>
        <v>n</v>
      </c>
      <c r="Z12" s="3" t="str">
        <f t="shared" si="14"/>
        <v>warsame isse osman</v>
      </c>
      <c r="AA12" s="3" t="str">
        <f t="shared" si="15"/>
        <v>WARSAME ISSE OSMAN</v>
      </c>
      <c r="AB12" s="3">
        <f>MONTH(B2:B21)</f>
        <v>7</v>
      </c>
    </row>
    <row r="13" spans="1:28" x14ac:dyDescent="0.35">
      <c r="A13" s="36">
        <v>12</v>
      </c>
      <c r="B13" s="37">
        <v>46215</v>
      </c>
      <c r="C13" s="37" t="s">
        <v>49</v>
      </c>
      <c r="D13" s="1" t="s">
        <v>22</v>
      </c>
      <c r="E13" s="1">
        <v>12</v>
      </c>
      <c r="F13" s="1" t="s">
        <v>10</v>
      </c>
      <c r="G13" s="1" t="s">
        <v>15</v>
      </c>
      <c r="H13" s="1" t="str">
        <f t="shared" si="3"/>
        <v>No</v>
      </c>
      <c r="I13" s="1" t="str">
        <f t="shared" si="4"/>
        <v>Yes</v>
      </c>
      <c r="J13" s="1">
        <v>134</v>
      </c>
      <c r="K13" s="1" t="str">
        <f t="shared" si="5"/>
        <v>NEGATIVE</v>
      </c>
      <c r="M13" s="19" t="str">
        <f t="shared" si="0"/>
        <v>abdirahman Abdi Ali</v>
      </c>
      <c r="N13" s="19" t="str">
        <f t="shared" si="6"/>
        <v>Abdirahman Abdi Ali</v>
      </c>
      <c r="O13" s="1"/>
      <c r="P13" s="3" t="b">
        <f>ISBLANK(D13:D33)</f>
        <v>0</v>
      </c>
      <c r="Q13" s="3">
        <f t="shared" si="7"/>
        <v>24</v>
      </c>
      <c r="R13" s="3" t="b">
        <f t="shared" si="8"/>
        <v>0</v>
      </c>
      <c r="S13" s="3" t="b">
        <f t="shared" si="9"/>
        <v>0</v>
      </c>
      <c r="T13" s="3" t="b">
        <f t="shared" si="10"/>
        <v>0</v>
      </c>
      <c r="U13" s="3" t="str">
        <f t="shared" si="1"/>
        <v>134-NEGATIVE</v>
      </c>
      <c r="V13" s="3" t="str">
        <f t="shared" si="11"/>
        <v>Abdi</v>
      </c>
      <c r="W13" s="3" t="str">
        <f t="shared" si="2"/>
        <v>Abdi</v>
      </c>
      <c r="X13" s="3" t="str">
        <f t="shared" si="12"/>
        <v>a</v>
      </c>
      <c r="Y13" s="3" t="str">
        <f t="shared" si="13"/>
        <v>i</v>
      </c>
      <c r="Z13" s="3" t="str">
        <f t="shared" si="14"/>
        <v>abdirahman abdi ali</v>
      </c>
      <c r="AA13" s="3" t="str">
        <f t="shared" si="15"/>
        <v>ABDIRAHMAN ABDI ALI</v>
      </c>
    </row>
    <row r="14" spans="1:28" ht="15.5" x14ac:dyDescent="0.35">
      <c r="A14" s="36">
        <v>13</v>
      </c>
      <c r="B14" s="37">
        <v>46216</v>
      </c>
      <c r="C14" s="37" t="s">
        <v>50</v>
      </c>
      <c r="D14" s="1"/>
      <c r="E14" s="1"/>
      <c r="F14" s="1"/>
      <c r="G14" s="1"/>
      <c r="H14" s="1"/>
      <c r="I14" s="1"/>
      <c r="J14" s="1"/>
      <c r="K14" s="1"/>
      <c r="M14" s="19" t="str">
        <f t="shared" si="0"/>
        <v/>
      </c>
      <c r="N14" s="19" t="str">
        <f t="shared" si="6"/>
        <v/>
      </c>
      <c r="O14" s="43" t="s">
        <v>57</v>
      </c>
      <c r="P14" s="3"/>
      <c r="Q14" s="3"/>
      <c r="R14" s="3"/>
      <c r="S14" s="3"/>
      <c r="T14" s="3"/>
      <c r="U14" s="3" t="str">
        <f t="shared" si="1"/>
        <v>-</v>
      </c>
      <c r="V14" s="3" t="e">
        <f t="shared" si="11"/>
        <v>#VALUE!</v>
      </c>
      <c r="W14" s="3" t="str">
        <f t="shared" si="2"/>
        <v xml:space="preserve"> </v>
      </c>
      <c r="X14" s="3" t="str">
        <f t="shared" si="12"/>
        <v/>
      </c>
      <c r="Y14" s="3" t="str">
        <f t="shared" si="13"/>
        <v/>
      </c>
      <c r="Z14" s="3" t="str">
        <f t="shared" si="14"/>
        <v/>
      </c>
      <c r="AA14" s="3" t="str">
        <f t="shared" si="15"/>
        <v/>
      </c>
      <c r="AB14" s="4" t="s">
        <v>44</v>
      </c>
    </row>
    <row r="15" spans="1:28" x14ac:dyDescent="0.35">
      <c r="A15" s="36">
        <v>14</v>
      </c>
      <c r="B15" s="37">
        <v>46217</v>
      </c>
      <c r="C15" s="37" t="s">
        <v>51</v>
      </c>
      <c r="D15" s="1" t="s">
        <v>79</v>
      </c>
      <c r="E15" s="1">
        <v>20</v>
      </c>
      <c r="F15" s="1" t="s">
        <v>10</v>
      </c>
      <c r="G15" s="1" t="s">
        <v>15</v>
      </c>
      <c r="H15" s="1" t="str">
        <f t="shared" si="3"/>
        <v>Yes</v>
      </c>
      <c r="I15" s="1" t="str">
        <f t="shared" si="4"/>
        <v>No</v>
      </c>
      <c r="J15" s="1">
        <v>99</v>
      </c>
      <c r="K15" s="1" t="str">
        <f t="shared" si="5"/>
        <v>NEGATIVE</v>
      </c>
      <c r="M15" s="19" t="str">
        <f t="shared" si="0"/>
        <v>Hussein abdi mUSe</v>
      </c>
      <c r="N15" s="19" t="str">
        <f t="shared" si="6"/>
        <v>Hussein Abdi Muse</v>
      </c>
      <c r="O15" s="41">
        <f ca="1">RAND()</f>
        <v>0.61947643764043792</v>
      </c>
      <c r="P15" s="3" t="b">
        <f>ISBLANK(D15:D28)</f>
        <v>0</v>
      </c>
      <c r="Q15" s="3">
        <f t="shared" si="7"/>
        <v>23</v>
      </c>
      <c r="R15" s="3" t="b">
        <f t="shared" si="8"/>
        <v>0</v>
      </c>
      <c r="S15" s="3" t="b">
        <f t="shared" si="9"/>
        <v>1</v>
      </c>
      <c r="T15" s="3" t="b">
        <f t="shared" si="10"/>
        <v>0</v>
      </c>
      <c r="U15" s="3" t="str">
        <f t="shared" si="1"/>
        <v>99-NEGATIVE</v>
      </c>
      <c r="V15" s="3" t="str">
        <f t="shared" si="11"/>
        <v>abdi</v>
      </c>
      <c r="W15" s="3" t="str">
        <f t="shared" si="2"/>
        <v>Abdi</v>
      </c>
      <c r="X15" s="3" t="str">
        <f t="shared" si="12"/>
        <v>H</v>
      </c>
      <c r="Y15" s="3" t="str">
        <f t="shared" si="13"/>
        <v>e</v>
      </c>
      <c r="Z15" s="3" t="str">
        <f t="shared" si="14"/>
        <v>hussein abdi muse</v>
      </c>
      <c r="AA15" s="3" t="str">
        <f t="shared" si="15"/>
        <v>HUSSEIN ABDI MUSE</v>
      </c>
      <c r="AB15" s="3">
        <f>DAY(B2:B21)</f>
        <v>14</v>
      </c>
    </row>
    <row r="16" spans="1:28" x14ac:dyDescent="0.35">
      <c r="A16" s="36">
        <v>15</v>
      </c>
      <c r="B16" s="37">
        <v>46218</v>
      </c>
      <c r="C16" s="37" t="s">
        <v>45</v>
      </c>
      <c r="D16" s="1" t="s">
        <v>80</v>
      </c>
      <c r="E16" s="1">
        <v>24</v>
      </c>
      <c r="F16" s="1" t="s">
        <v>10</v>
      </c>
      <c r="G16" s="1" t="s">
        <v>15</v>
      </c>
      <c r="H16" s="1" t="str">
        <f t="shared" si="3"/>
        <v>Yes</v>
      </c>
      <c r="I16" s="1" t="str">
        <f t="shared" si="4"/>
        <v>No</v>
      </c>
      <c r="J16" s="1">
        <v>91</v>
      </c>
      <c r="K16" s="1" t="str">
        <f t="shared" si="5"/>
        <v>NEGATIVE</v>
      </c>
      <c r="M16" s="19" t="str">
        <f t="shared" si="0"/>
        <v>Hamdi Jaylani Arab</v>
      </c>
      <c r="N16" s="19" t="str">
        <f t="shared" si="6"/>
        <v>Hamdi Jaylani Arab</v>
      </c>
      <c r="O16" s="1"/>
      <c r="P16" s="3" t="b">
        <f>ISBLANK(D16:D33)</f>
        <v>0</v>
      </c>
      <c r="Q16" s="3">
        <f t="shared" si="7"/>
        <v>20</v>
      </c>
      <c r="R16" s="3" t="b">
        <f t="shared" si="8"/>
        <v>0</v>
      </c>
      <c r="S16" s="3" t="b">
        <f t="shared" si="9"/>
        <v>1</v>
      </c>
      <c r="T16" s="3" t="b">
        <f t="shared" si="10"/>
        <v>0</v>
      </c>
      <c r="U16" s="3" t="str">
        <f t="shared" si="1"/>
        <v>91-NEGATIVE</v>
      </c>
      <c r="V16" s="3" t="str">
        <f t="shared" si="11"/>
        <v>Jayl</v>
      </c>
      <c r="W16" s="3" t="str">
        <f t="shared" si="2"/>
        <v>Jayl</v>
      </c>
      <c r="X16" s="3" t="str">
        <f t="shared" si="12"/>
        <v>H</v>
      </c>
      <c r="Y16" s="3" t="str">
        <f t="shared" si="13"/>
        <v>b</v>
      </c>
      <c r="Z16" s="3" t="str">
        <f t="shared" si="14"/>
        <v>hamdi jaylani arab</v>
      </c>
      <c r="AA16" s="3" t="str">
        <f t="shared" si="15"/>
        <v>HAMDI JAYLANI ARAB</v>
      </c>
    </row>
    <row r="17" spans="1:27" x14ac:dyDescent="0.35">
      <c r="A17" s="36">
        <v>16</v>
      </c>
      <c r="B17" s="37">
        <v>46219</v>
      </c>
      <c r="C17" s="37" t="s">
        <v>46</v>
      </c>
      <c r="D17" s="1"/>
      <c r="E17" s="1"/>
      <c r="F17" s="1"/>
      <c r="G17" s="1"/>
      <c r="H17" s="1"/>
      <c r="I17" s="1"/>
      <c r="J17" s="1"/>
      <c r="K17" s="1"/>
      <c r="M17" s="19" t="str">
        <f t="shared" si="0"/>
        <v/>
      </c>
      <c r="N17" s="19" t="str">
        <f t="shared" si="6"/>
        <v/>
      </c>
      <c r="O17" s="1"/>
      <c r="P17" s="3"/>
      <c r="Q17" s="3"/>
      <c r="R17" s="3"/>
      <c r="S17" s="3"/>
      <c r="T17" s="3"/>
      <c r="U17" s="3" t="str">
        <f t="shared" si="1"/>
        <v>-</v>
      </c>
      <c r="V17" s="3" t="e">
        <f t="shared" si="11"/>
        <v>#VALUE!</v>
      </c>
      <c r="W17" s="3" t="str">
        <f t="shared" si="2"/>
        <v xml:space="preserve"> </v>
      </c>
      <c r="X17" s="3" t="str">
        <f t="shared" si="12"/>
        <v/>
      </c>
      <c r="Y17" s="3" t="str">
        <f t="shared" si="13"/>
        <v/>
      </c>
      <c r="Z17" s="3" t="str">
        <f t="shared" si="14"/>
        <v/>
      </c>
      <c r="AA17" s="3" t="str">
        <f t="shared" si="15"/>
        <v/>
      </c>
    </row>
    <row r="18" spans="1:27" x14ac:dyDescent="0.35">
      <c r="A18" s="36">
        <v>17</v>
      </c>
      <c r="B18" s="37">
        <v>46220</v>
      </c>
      <c r="C18" s="37" t="s">
        <v>47</v>
      </c>
      <c r="D18" s="1" t="s">
        <v>23</v>
      </c>
      <c r="E18" s="1">
        <v>22</v>
      </c>
      <c r="F18" s="1" t="s">
        <v>11</v>
      </c>
      <c r="G18" s="1" t="s">
        <v>15</v>
      </c>
      <c r="H18" s="1" t="str">
        <f t="shared" si="3"/>
        <v>Yes</v>
      </c>
      <c r="I18" s="1" t="str">
        <f t="shared" si="4"/>
        <v>No</v>
      </c>
      <c r="J18" s="1">
        <v>431</v>
      </c>
      <c r="K18" s="1" t="str">
        <f t="shared" si="5"/>
        <v>POSITIVE</v>
      </c>
      <c r="M18" s="19" t="str">
        <f t="shared" si="0"/>
        <v>Ali AHMED Hussein</v>
      </c>
      <c r="N18" s="19" t="str">
        <f t="shared" si="6"/>
        <v>Ali Ahmed Hussein</v>
      </c>
      <c r="O18" s="1"/>
      <c r="P18" s="3" t="b">
        <f>ISBLANK(D18:D37)</f>
        <v>0</v>
      </c>
      <c r="Q18" s="3">
        <f t="shared" si="7"/>
        <v>22</v>
      </c>
      <c r="R18" s="3" t="b">
        <f t="shared" si="8"/>
        <v>1</v>
      </c>
      <c r="S18" s="3" t="b">
        <f t="shared" si="9"/>
        <v>1</v>
      </c>
      <c r="T18" s="3" t="b">
        <f t="shared" si="10"/>
        <v>0</v>
      </c>
      <c r="U18" s="3" t="str">
        <f t="shared" si="1"/>
        <v>431-POSITIVE</v>
      </c>
      <c r="V18" s="3" t="str">
        <f t="shared" si="11"/>
        <v>AHME</v>
      </c>
      <c r="W18" s="3" t="str">
        <f t="shared" si="2"/>
        <v>Ahme</v>
      </c>
      <c r="X18" s="3" t="str">
        <f t="shared" si="12"/>
        <v>A</v>
      </c>
      <c r="Y18" s="3" t="str">
        <f t="shared" si="13"/>
        <v>n</v>
      </c>
      <c r="Z18" s="3" t="str">
        <f t="shared" si="14"/>
        <v>ali ahmed hussein</v>
      </c>
      <c r="AA18" s="3" t="str">
        <f t="shared" si="15"/>
        <v>ALI AHMED HUSSEIN</v>
      </c>
    </row>
    <row r="19" spans="1:27" x14ac:dyDescent="0.35">
      <c r="A19" s="36">
        <v>18</v>
      </c>
      <c r="B19" s="37">
        <v>46221</v>
      </c>
      <c r="C19" s="37" t="s">
        <v>48</v>
      </c>
      <c r="D19" s="1"/>
      <c r="E19" s="1"/>
      <c r="F19" s="1"/>
      <c r="G19" s="1"/>
      <c r="H19" s="1"/>
      <c r="I19" s="1"/>
      <c r="J19" s="1"/>
      <c r="K19" s="1"/>
      <c r="M19" s="19" t="str">
        <f t="shared" si="0"/>
        <v/>
      </c>
      <c r="N19" s="19" t="str">
        <f t="shared" si="6"/>
        <v/>
      </c>
      <c r="O19" s="1"/>
      <c r="P19" s="3"/>
      <c r="Q19" s="3"/>
      <c r="R19" s="3"/>
      <c r="S19" s="3"/>
      <c r="T19" s="3"/>
      <c r="U19" s="3" t="str">
        <f t="shared" si="1"/>
        <v>-</v>
      </c>
      <c r="V19" s="3" t="e">
        <f t="shared" si="11"/>
        <v>#VALUE!</v>
      </c>
      <c r="W19" s="3" t="str">
        <f t="shared" si="2"/>
        <v xml:space="preserve"> </v>
      </c>
      <c r="X19" s="3" t="str">
        <f t="shared" si="12"/>
        <v/>
      </c>
      <c r="Y19" s="3" t="str">
        <f t="shared" si="13"/>
        <v/>
      </c>
      <c r="Z19" s="3" t="str">
        <f t="shared" si="14"/>
        <v/>
      </c>
      <c r="AA19" s="3" t="str">
        <f t="shared" si="15"/>
        <v/>
      </c>
    </row>
    <row r="20" spans="1:27" x14ac:dyDescent="0.35">
      <c r="A20" s="36">
        <v>19</v>
      </c>
      <c r="B20" s="37">
        <v>46222</v>
      </c>
      <c r="C20" s="37" t="s">
        <v>49</v>
      </c>
      <c r="D20" s="1" t="s">
        <v>24</v>
      </c>
      <c r="E20" s="1">
        <v>19</v>
      </c>
      <c r="F20" s="1" t="s">
        <v>13</v>
      </c>
      <c r="G20" s="1" t="s">
        <v>15</v>
      </c>
      <c r="H20" s="1" t="str">
        <f t="shared" si="3"/>
        <v>Yes</v>
      </c>
      <c r="I20" s="1" t="str">
        <f t="shared" si="4"/>
        <v>No</v>
      </c>
      <c r="J20" s="1">
        <v>70</v>
      </c>
      <c r="K20" s="1" t="str">
        <f t="shared" si="5"/>
        <v>NEGATIVE</v>
      </c>
      <c r="M20" s="19" t="str">
        <f t="shared" si="0"/>
        <v>Sainab Ahmed Haji</v>
      </c>
      <c r="N20" s="19" t="str">
        <f t="shared" si="6"/>
        <v>Sainab Ahmed Haji</v>
      </c>
      <c r="O20" s="1"/>
      <c r="P20" s="3" t="b">
        <f>ISBLANK(D20:D40)</f>
        <v>0</v>
      </c>
      <c r="Q20" s="3">
        <f t="shared" si="7"/>
        <v>17</v>
      </c>
      <c r="R20" s="3" t="b">
        <f t="shared" si="8"/>
        <v>0</v>
      </c>
      <c r="S20" s="3" t="b">
        <f t="shared" si="9"/>
        <v>1</v>
      </c>
      <c r="T20" s="3" t="b">
        <f t="shared" si="10"/>
        <v>0</v>
      </c>
      <c r="U20" s="3" t="str">
        <f t="shared" si="1"/>
        <v>70-NEGATIVE</v>
      </c>
      <c r="V20" s="3" t="str">
        <f t="shared" si="11"/>
        <v>Ahme</v>
      </c>
      <c r="W20" s="3" t="str">
        <f t="shared" si="2"/>
        <v>Ahme</v>
      </c>
      <c r="X20" s="3" t="str">
        <f t="shared" si="12"/>
        <v>S</v>
      </c>
      <c r="Y20" s="3" t="str">
        <f t="shared" si="13"/>
        <v>i</v>
      </c>
      <c r="Z20" s="3" t="str">
        <f t="shared" si="14"/>
        <v>sainab ahmed haji</v>
      </c>
      <c r="AA20" s="3" t="str">
        <f t="shared" si="15"/>
        <v>SAINAB AHMED HAJI</v>
      </c>
    </row>
    <row r="21" spans="1:27" x14ac:dyDescent="0.35">
      <c r="A21" s="36">
        <v>20</v>
      </c>
      <c r="B21" s="37">
        <v>46223</v>
      </c>
      <c r="C21" s="37" t="s">
        <v>50</v>
      </c>
      <c r="D21" s="1" t="s">
        <v>25</v>
      </c>
      <c r="E21" s="1">
        <v>56</v>
      </c>
      <c r="F21" s="1" t="s">
        <v>12</v>
      </c>
      <c r="G21" s="1" t="s">
        <v>15</v>
      </c>
      <c r="H21" s="1" t="str">
        <f t="shared" si="3"/>
        <v>Yes</v>
      </c>
      <c r="I21" s="1" t="str">
        <f t="shared" si="4"/>
        <v>No</v>
      </c>
      <c r="J21" s="1">
        <v>78</v>
      </c>
      <c r="K21" s="1" t="str">
        <f t="shared" si="5"/>
        <v>NEGATIVE</v>
      </c>
      <c r="M21" s="19" t="str">
        <f t="shared" si="0"/>
        <v>Igal Gelle Shire</v>
      </c>
      <c r="N21" s="19" t="str">
        <f t="shared" si="6"/>
        <v>Igal Gelle Shire</v>
      </c>
      <c r="O21" s="1"/>
      <c r="P21" s="3" t="b">
        <f>ISBLANK(D21:D40)</f>
        <v>0</v>
      </c>
      <c r="Q21" s="3">
        <f t="shared" si="7"/>
        <v>16</v>
      </c>
      <c r="R21" s="3" t="b">
        <f t="shared" si="8"/>
        <v>0</v>
      </c>
      <c r="S21" s="3" t="b">
        <f t="shared" si="9"/>
        <v>1</v>
      </c>
      <c r="T21" s="3" t="b">
        <f t="shared" si="10"/>
        <v>0</v>
      </c>
      <c r="U21" s="3" t="str">
        <f t="shared" si="1"/>
        <v>78-NEGATIVE</v>
      </c>
      <c r="V21" s="3" t="str">
        <f t="shared" si="11"/>
        <v>Gell</v>
      </c>
      <c r="W21" s="3" t="str">
        <f t="shared" si="2"/>
        <v>Gell</v>
      </c>
      <c r="X21" s="3" t="str">
        <f t="shared" si="12"/>
        <v>I</v>
      </c>
      <c r="Y21" s="3" t="str">
        <f t="shared" si="13"/>
        <v>e</v>
      </c>
      <c r="Z21" s="3" t="str">
        <f t="shared" si="14"/>
        <v>igal gelle shire</v>
      </c>
      <c r="AA21" s="3" t="str">
        <f t="shared" si="15"/>
        <v>IGAL GELLE SHIRE</v>
      </c>
    </row>
    <row r="22" spans="1:27" x14ac:dyDescent="0.35">
      <c r="A22" s="30"/>
      <c r="B22" s="31"/>
      <c r="C22" s="31"/>
      <c r="D22" s="32"/>
      <c r="E22" s="32"/>
      <c r="F22" s="32"/>
      <c r="G22" s="32"/>
      <c r="H22" s="32"/>
      <c r="I22" s="32"/>
      <c r="J22" s="32"/>
      <c r="K22" s="33"/>
    </row>
    <row r="23" spans="1:27" x14ac:dyDescent="0.35">
      <c r="A23" s="16"/>
      <c r="B23" s="17"/>
      <c r="C23" s="17"/>
      <c r="D23" s="28" t="s">
        <v>30</v>
      </c>
      <c r="E23" s="28">
        <f>SUM(E2:E21)</f>
        <v>376</v>
      </c>
      <c r="F23" s="18"/>
      <c r="G23" s="18"/>
      <c r="H23" s="18"/>
      <c r="I23" s="18"/>
      <c r="J23" s="18"/>
      <c r="K23" s="8"/>
    </row>
    <row r="24" spans="1:27" ht="12" customHeight="1" x14ac:dyDescent="0.35">
      <c r="A24" s="44" t="s">
        <v>55</v>
      </c>
      <c r="B24" s="45" t="s">
        <v>54</v>
      </c>
      <c r="O24" s="6" t="s">
        <v>31</v>
      </c>
      <c r="P24" s="6">
        <f>AVERAGE(J2:J21)</f>
        <v>193.2</v>
      </c>
    </row>
    <row r="25" spans="1:27" x14ac:dyDescent="0.35">
      <c r="A25" s="25" t="s">
        <v>56</v>
      </c>
      <c r="B25" s="20">
        <f>SUMIF(F2:F21,A27,E2:E21)</f>
        <v>131</v>
      </c>
      <c r="H25" s="9" t="s">
        <v>34</v>
      </c>
      <c r="I25" s="9">
        <f>MIN(J2:J21)</f>
        <v>70</v>
      </c>
    </row>
    <row r="26" spans="1:27" x14ac:dyDescent="0.35">
      <c r="A26" s="25" t="s">
        <v>11</v>
      </c>
      <c r="B26" s="20">
        <f>SUMIF(F3:F22,A28,E3:E23)</f>
        <v>19</v>
      </c>
      <c r="H26" s="11" t="s">
        <v>35</v>
      </c>
      <c r="I26" s="11">
        <f>MAX(J2:J21)</f>
        <v>776</v>
      </c>
      <c r="O26" s="10" t="s">
        <v>55</v>
      </c>
      <c r="P26" s="10" t="s">
        <v>65</v>
      </c>
    </row>
    <row r="27" spans="1:27" x14ac:dyDescent="0.35">
      <c r="A27" s="25" t="s">
        <v>10</v>
      </c>
      <c r="B27" s="20">
        <f>SUMIF(F4:F22,A29,E4:E23)</f>
        <v>78</v>
      </c>
      <c r="D27" s="26" t="s">
        <v>27</v>
      </c>
      <c r="E27" s="21" t="s">
        <v>55</v>
      </c>
      <c r="F27" s="24" t="s">
        <v>60</v>
      </c>
      <c r="H27" s="5" t="s">
        <v>43</v>
      </c>
      <c r="I27" s="5">
        <f>MODE(J2:J21)</f>
        <v>78</v>
      </c>
      <c r="O27" s="3" t="s">
        <v>10</v>
      </c>
      <c r="P27" s="3">
        <f>AVERAGE(J2:J21,F2:F21,O27)</f>
        <v>193.2</v>
      </c>
    </row>
    <row r="28" spans="1:27" x14ac:dyDescent="0.35">
      <c r="A28" s="25" t="s">
        <v>13</v>
      </c>
      <c r="B28" s="20">
        <f>SUMIF(F5:F22,A30,E5:E23)</f>
        <v>56</v>
      </c>
      <c r="D28" s="25" t="s">
        <v>58</v>
      </c>
      <c r="E28" s="19" t="s">
        <v>10</v>
      </c>
      <c r="F28" s="20">
        <f>SUMIFS(J2:J21,K2:K21,D28,F2:F21,E28)</f>
        <v>564</v>
      </c>
      <c r="O28" s="3" t="s">
        <v>56</v>
      </c>
      <c r="P28" s="3">
        <f>AVERAGE(J3:J22,F3:F22,O28)</f>
        <v>190.28571428571428</v>
      </c>
    </row>
    <row r="29" spans="1:27" x14ac:dyDescent="0.35">
      <c r="A29" s="25" t="s">
        <v>12</v>
      </c>
      <c r="B29" s="20">
        <f ca="1">SUMIF(F6:F29,F33,E6:E23)</f>
        <v>0</v>
      </c>
      <c r="D29" s="27" t="s">
        <v>59</v>
      </c>
      <c r="E29" s="23" t="s">
        <v>10</v>
      </c>
      <c r="F29" s="22">
        <f>SUMIFS(J3:J22,K3:K22,D29,F3:F22,E29)</f>
        <v>446</v>
      </c>
      <c r="O29" s="3" t="s">
        <v>11</v>
      </c>
      <c r="P29" s="3">
        <f>AVERAGE(J4:J23,F4:F23,O29)</f>
        <v>190.28571428571428</v>
      </c>
    </row>
    <row r="30" spans="1:27" x14ac:dyDescent="0.35">
      <c r="A30" s="27" t="s">
        <v>9</v>
      </c>
      <c r="B30" s="22">
        <f ca="1">SUMIF(F7:F26,F27,E7:E23)</f>
        <v>0</v>
      </c>
      <c r="O30" s="3" t="s">
        <v>9</v>
      </c>
      <c r="P30" s="3">
        <f>AVERAGE(J5:J24,F5:F24,O30)</f>
        <v>198.92307692307693</v>
      </c>
    </row>
    <row r="31" spans="1:27" x14ac:dyDescent="0.35">
      <c r="O31" s="3" t="s">
        <v>12</v>
      </c>
      <c r="P31" s="3">
        <f>AVERAGE(J6:J24,F6:F25,O31)</f>
        <v>196.83333333333334</v>
      </c>
    </row>
    <row r="32" spans="1:27" x14ac:dyDescent="0.35">
      <c r="O32" s="3" t="s">
        <v>12</v>
      </c>
      <c r="P32" s="3">
        <f>AVERAGE(J7:J24,F7:F26,O32)</f>
        <v>144.18181818181819</v>
      </c>
    </row>
    <row r="34" spans="1:17" x14ac:dyDescent="0.35">
      <c r="B34" s="13" t="s">
        <v>78</v>
      </c>
      <c r="O34" s="10" t="s">
        <v>3</v>
      </c>
      <c r="P34" s="10" t="s">
        <v>27</v>
      </c>
      <c r="Q34" s="10" t="s">
        <v>66</v>
      </c>
    </row>
    <row r="35" spans="1:17" x14ac:dyDescent="0.35">
      <c r="A35" s="12" t="s">
        <v>76</v>
      </c>
      <c r="B35" s="3">
        <v>1</v>
      </c>
      <c r="O35" s="3" t="s">
        <v>68</v>
      </c>
      <c r="P35" s="3" t="s">
        <v>58</v>
      </c>
      <c r="Q35" s="3">
        <f>AVERAGEIFS(J2:J21,H2:H21,O35,K2:K21,P35)</f>
        <v>204</v>
      </c>
    </row>
    <row r="36" spans="1:17" x14ac:dyDescent="0.35">
      <c r="A36" s="12" t="s">
        <v>77</v>
      </c>
      <c r="B36" s="3" t="str">
        <f>VLOOKUP(B35,A2:D21,4,1)</f>
        <v>Esra Abdi     ali</v>
      </c>
      <c r="O36" s="3" t="s">
        <v>67</v>
      </c>
      <c r="P36" s="3" t="s">
        <v>59</v>
      </c>
      <c r="Q36" s="3">
        <f>AVERAGEIFS(J3:J22,H3:H22,O36,K3:K22,P36)</f>
        <v>83.2</v>
      </c>
    </row>
    <row r="42" spans="1:17" x14ac:dyDescent="0.35">
      <c r="J42" s="1" t="s">
        <v>55</v>
      </c>
      <c r="K42" s="1" t="s">
        <v>69</v>
      </c>
      <c r="M42" s="10" t="s">
        <v>3</v>
      </c>
      <c r="N42" s="10" t="s">
        <v>69</v>
      </c>
    </row>
    <row r="43" spans="1:17" x14ac:dyDescent="0.35">
      <c r="J43" s="1" t="s">
        <v>10</v>
      </c>
      <c r="K43" s="1">
        <f>COUNTIF(F2:F21,J43)</f>
        <v>7</v>
      </c>
      <c r="M43" s="3" t="s">
        <v>67</v>
      </c>
      <c r="N43" s="3">
        <f>COUNTIF(H2:H21,M43)</f>
        <v>9</v>
      </c>
    </row>
    <row r="44" spans="1:17" x14ac:dyDescent="0.35">
      <c r="J44" s="1" t="s">
        <v>56</v>
      </c>
      <c r="K44" s="1">
        <f>COUNTIF(F3:F22,J44)</f>
        <v>0</v>
      </c>
      <c r="M44" s="3" t="s">
        <v>68</v>
      </c>
      <c r="N44" s="3">
        <f>COUNTIF(H3:H22,M44)</f>
        <v>5</v>
      </c>
    </row>
    <row r="45" spans="1:17" x14ac:dyDescent="0.35">
      <c r="J45" s="1" t="s">
        <v>11</v>
      </c>
      <c r="K45" s="1">
        <f>COUNTIF(F4:F23,J45)</f>
        <v>2</v>
      </c>
    </row>
    <row r="46" spans="1:17" x14ac:dyDescent="0.35">
      <c r="J46" s="1" t="s">
        <v>9</v>
      </c>
      <c r="K46" s="1">
        <f>COUNTIF(F5:F24,J46)</f>
        <v>1</v>
      </c>
      <c r="M46" s="14" t="s">
        <v>3</v>
      </c>
      <c r="N46" s="14" t="s">
        <v>70</v>
      </c>
      <c r="O46" s="14" t="s">
        <v>71</v>
      </c>
    </row>
    <row r="47" spans="1:17" x14ac:dyDescent="0.35">
      <c r="J47" s="1" t="s">
        <v>12</v>
      </c>
      <c r="K47" s="1">
        <f>COUNTIF(F6:F25,J47)</f>
        <v>2</v>
      </c>
      <c r="M47" s="3" t="s">
        <v>67</v>
      </c>
      <c r="N47" s="3" t="s">
        <v>58</v>
      </c>
      <c r="O47" s="3">
        <f>COUNTIFS(H2:H21,M47,K2:K21,N47)</f>
        <v>4</v>
      </c>
    </row>
    <row r="48" spans="1:17" x14ac:dyDescent="0.35">
      <c r="J48" s="1" t="s">
        <v>13</v>
      </c>
      <c r="K48" s="1">
        <f>COUNTIF(F7:F26,J48)</f>
        <v>1</v>
      </c>
      <c r="M48" s="3" t="s">
        <v>68</v>
      </c>
      <c r="N48" s="3" t="s">
        <v>59</v>
      </c>
      <c r="O48" s="3">
        <f>COUNTIFS(H3:H22,M48,K3:K22,N48)</f>
        <v>3</v>
      </c>
    </row>
  </sheetData>
  <conditionalFormatting sqref="E2:E21 E23">
    <cfRule type="cellIs" dxfId="4" priority="7" operator="lessThan">
      <formula>18</formula>
    </cfRule>
  </conditionalFormatting>
  <conditionalFormatting sqref="K2:K21">
    <cfRule type="containsText" dxfId="3" priority="1" operator="containsText" text="Negative">
      <formula>NOT(ISERROR(SEARCH("Negative",K2)))</formula>
    </cfRule>
    <cfRule type="cellIs" dxfId="2" priority="6" operator="equal">
      <formula>"POSITIVE"</formula>
    </cfRule>
  </conditionalFormatting>
  <conditionalFormatting sqref="A25:A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1">
    <cfRule type="containsText" dxfId="1" priority="2" operator="containsText" text="Yes">
      <formula>NOT(ISERROR(SEARCH("Yes",H2)))</formula>
    </cfRule>
    <cfRule type="containsText" dxfId="0" priority="3" operator="containsText" text="YES">
      <formula>NOT(ISERROR(SEARCH("YES",H2)))</formula>
    </cfRule>
  </conditionalFormatting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2026-07-08T15:28:40Z</dcterms:created>
  <dcterms:modified xsi:type="dcterms:W3CDTF">2026-07-09T18:07:56Z</dcterms:modified>
</cp:coreProperties>
</file>
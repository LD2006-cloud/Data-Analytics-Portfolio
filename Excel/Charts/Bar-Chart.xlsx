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I3" i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<sst xmlns="http://schemas.openxmlformats.org/spreadsheetml/2006/main" count="46" uniqueCount="38">
  <si>
    <t>Employee</t>
  </si>
  <si>
    <t>Department</t>
  </si>
  <si>
    <t>Salary</t>
  </si>
  <si>
    <t>Month</t>
  </si>
  <si>
    <t>Ahmed</t>
  </si>
  <si>
    <t>IT</t>
  </si>
  <si>
    <t>Jan</t>
  </si>
  <si>
    <t>Amina</t>
  </si>
  <si>
    <t>HR</t>
  </si>
  <si>
    <t>Hassan</t>
  </si>
  <si>
    <t>Finance</t>
  </si>
  <si>
    <t>Feb</t>
  </si>
  <si>
    <t>Fatima</t>
  </si>
  <si>
    <t>Ali</t>
  </si>
  <si>
    <t>Sales</t>
  </si>
  <si>
    <t>Mar</t>
  </si>
  <si>
    <t>Maryan</t>
  </si>
  <si>
    <t>Omar</t>
  </si>
  <si>
    <t>Apr</t>
  </si>
  <si>
    <t>Khadra</t>
  </si>
  <si>
    <t>Yusuf</t>
  </si>
  <si>
    <t>May</t>
  </si>
  <si>
    <t>Hawa</t>
  </si>
  <si>
    <t>Abdi</t>
  </si>
  <si>
    <t>Jun</t>
  </si>
  <si>
    <t>Nasra</t>
  </si>
  <si>
    <t>Dec</t>
  </si>
  <si>
    <t>Aug</t>
  </si>
  <si>
    <t>Oct</t>
  </si>
  <si>
    <t>Nov</t>
  </si>
  <si>
    <t>Sep</t>
  </si>
  <si>
    <t>Jul</t>
  </si>
  <si>
    <t>Performance Level (%)</t>
  </si>
  <si>
    <t>Performance Cell-chart(%)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</si>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</sst>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249977111117893"/>
      <name val="Stencil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vertical="center" wrapText="1"/>
    </xf>
    <xf numFmtId="0" fontId="0" fillId="0" borderId="0" xfId="0" applyAlignment="1"/>
    <xf numFmtId="9" fontId="0" fillId="0" borderId="0" xfId="0" applyNumberFormat="1" applyAlignment="1">
      <alignment horizontal="left" vertical="center" wrapText="1"/>
    </xf>
    <xf numFmtId="174" fontId="0" fillId="0" borderId="0" xfId="0" applyNumberFormat="1" applyAlignment="1">
      <alignment horizontal="left" vertical="center" wrapText="1"/>
    </xf>
    <xf numFmtId="174" fontId="0" fillId="0" borderId="0" xfId="0" applyNumberFormat="1" applyAlignment="1">
      <alignment horizontal="left"/>
    </xf>
    <xf numFmtId="9" fontId="2" fillId="0" borderId="0" xfId="0" applyNumberFormat="1" applyFont="1" applyAlignment="1">
      <alignment horizontal="left" vertical="center" wrapText="1"/>
    </xf>
    <xf numFmtId="174" fontId="1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vertical="center" wrapText="1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11">
    <dxf>
      <numFmt numFmtId="13" formatCode="0%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1" formatCode="0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13" formatCode="0%"/>
      <alignment horizontal="left" vertical="center" textRotation="0" wrapText="1" indent="0" justifyLastLine="0" shrinkToFit="0" readingOrder="0"/>
    </dxf>
    <dxf>
      <numFmt numFmtId="174" formatCode="&quot;$&quot;#,##0"/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-0.249977111117893"/>
        <name val="Stencil"/>
        <scheme val="none"/>
      </font>
      <numFmt numFmtId="13" formatCode="0%"/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image" Target="../media/image2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spPr>
            <a:blipFill>
              <a:blip xmlns:r="http://schemas.openxmlformats.org/officeDocument/2006/relationships" r:embed="rId3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Ahmed</c:v>
                </c:pt>
                <c:pt idx="1">
                  <c:v>Amina</c:v>
                </c:pt>
                <c:pt idx="2">
                  <c:v>Hassan</c:v>
                </c:pt>
                <c:pt idx="3">
                  <c:v>Fatima</c:v>
                </c:pt>
                <c:pt idx="4">
                  <c:v>Ali</c:v>
                </c:pt>
                <c:pt idx="5">
                  <c:v>Maryan</c:v>
                </c:pt>
                <c:pt idx="6">
                  <c:v>Omar</c:v>
                </c:pt>
                <c:pt idx="7">
                  <c:v>Khadra</c:v>
                </c:pt>
                <c:pt idx="8">
                  <c:v>Yusuf</c:v>
                </c:pt>
                <c:pt idx="9">
                  <c:v>Hawa</c:v>
                </c:pt>
                <c:pt idx="10">
                  <c:v>Abdi</c:v>
                </c:pt>
                <c:pt idx="11">
                  <c:v>Nasra</c:v>
                </c:pt>
              </c:strCache>
            </c:strRef>
          </c:cat>
          <c:val>
            <c:numRef>
              <c:f>Sheet1!$D$2:$D$13</c:f>
              <c:numCache>
                <c:formatCode>0%</c:formatCode>
                <c:ptCount val="12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B-4F9D-8E27-369640084248}"/>
            </c:ext>
          </c:extLst>
        </c:ser>
        <c:ser>
          <c:idx val="1"/>
          <c:order val="1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Ahmed</c:v>
                </c:pt>
                <c:pt idx="1">
                  <c:v>Amina</c:v>
                </c:pt>
                <c:pt idx="2">
                  <c:v>Hassan</c:v>
                </c:pt>
                <c:pt idx="3">
                  <c:v>Fatima</c:v>
                </c:pt>
                <c:pt idx="4">
                  <c:v>Ali</c:v>
                </c:pt>
                <c:pt idx="5">
                  <c:v>Maryan</c:v>
                </c:pt>
                <c:pt idx="6">
                  <c:v>Omar</c:v>
                </c:pt>
                <c:pt idx="7">
                  <c:v>Khadra</c:v>
                </c:pt>
                <c:pt idx="8">
                  <c:v>Yusuf</c:v>
                </c:pt>
                <c:pt idx="9">
                  <c:v>Hawa</c:v>
                </c:pt>
                <c:pt idx="10">
                  <c:v>Abdi</c:v>
                </c:pt>
                <c:pt idx="11">
                  <c:v>Nasra</c:v>
                </c:pt>
              </c:strCache>
            </c:strRef>
          </c:cat>
          <c:val>
            <c:numRef>
              <c:f>Sheet1!$E$2:$E$13</c:f>
              <c:numCache>
                <c:formatCode>0%</c:formatCode>
                <c:ptCount val="12"/>
                <c:pt idx="0">
                  <c:v>0.75</c:v>
                </c:pt>
                <c:pt idx="1">
                  <c:v>0.27999999999999997</c:v>
                </c:pt>
                <c:pt idx="2">
                  <c:v>0.69</c:v>
                </c:pt>
                <c:pt idx="3">
                  <c:v>0.57000000000000006</c:v>
                </c:pt>
                <c:pt idx="4">
                  <c:v>0.21000000000000002</c:v>
                </c:pt>
                <c:pt idx="5">
                  <c:v>0.52</c:v>
                </c:pt>
                <c:pt idx="6">
                  <c:v>0.81</c:v>
                </c:pt>
                <c:pt idx="7">
                  <c:v>0.33999999999999997</c:v>
                </c:pt>
                <c:pt idx="8">
                  <c:v>0.65999999999999992</c:v>
                </c:pt>
                <c:pt idx="9">
                  <c:v>0.13</c:v>
                </c:pt>
                <c:pt idx="10">
                  <c:v>0.83000000000000007</c:v>
                </c:pt>
                <c:pt idx="11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AB-4F9D-8E27-369640084248}"/>
            </c:ext>
          </c:extLst>
        </c:ser>
        <c:ser>
          <c:idx val="2"/>
          <c:order val="2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B5ECA404-C91B-462B-9D9C-38CBD0507F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6AB-4F9D-8E27-369640084248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03C910D4-1B12-47F0-A8C1-031B95252A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6AB-4F9D-8E27-369640084248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7B856262-1554-49DE-96F5-5F006778D4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6AB-4F9D-8E27-369640084248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7C7A2F17-C712-4AB8-A12B-DF20A5D83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AB-4F9D-8E27-369640084248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1E14DF6F-4BA5-4BBC-89DD-069D5163A4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6AB-4F9D-8E27-369640084248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22F4E5AF-BD0D-43FC-A9E4-AD462EF166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6AB-4F9D-8E27-369640084248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607D801B-4E3C-4CC4-84A9-42A8BDEA0C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6AB-4F9D-8E27-369640084248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66AC30F4-1726-4800-A5F2-A548A1A0D3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6AB-4F9D-8E27-369640084248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F2B946DB-4C0D-46EC-B2C4-861F4B5089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6AB-4F9D-8E27-369640084248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BC506259-6959-47CD-9F78-1293C6607F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6AB-4F9D-8E27-369640084248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654280C6-E613-4092-B055-E92D261C9F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6AB-4F9D-8E27-369640084248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2F3EFA4C-43B2-43F8-990C-C3A6D3C703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6AB-4F9D-8E27-3696400842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Ahmed</c:v>
                </c:pt>
                <c:pt idx="1">
                  <c:v>Amina</c:v>
                </c:pt>
                <c:pt idx="2">
                  <c:v>Hassan</c:v>
                </c:pt>
                <c:pt idx="3">
                  <c:v>Fatima</c:v>
                </c:pt>
                <c:pt idx="4">
                  <c:v>Ali</c:v>
                </c:pt>
                <c:pt idx="5">
                  <c:v>Maryan</c:v>
                </c:pt>
                <c:pt idx="6">
                  <c:v>Omar</c:v>
                </c:pt>
                <c:pt idx="7">
                  <c:v>Khadra</c:v>
                </c:pt>
                <c:pt idx="8">
                  <c:v>Yusuf</c:v>
                </c:pt>
                <c:pt idx="9">
                  <c:v>Hawa</c:v>
                </c:pt>
                <c:pt idx="10">
                  <c:v>Abdi</c:v>
                </c:pt>
                <c:pt idx="11">
                  <c:v>Nasra</c:v>
                </c:pt>
              </c:strCache>
            </c:strRef>
          </c:cat>
          <c:val>
            <c:numRef>
              <c:f>Sheet1!$F$2:$F$13</c:f>
              <c:numCache>
                <c:formatCode>0%</c:formatCode>
                <c:ptCount val="12"/>
                <c:pt idx="0">
                  <c:v>0.11000000000000004</c:v>
                </c:pt>
                <c:pt idx="1">
                  <c:v>0.58000000000000007</c:v>
                </c:pt>
                <c:pt idx="2">
                  <c:v>0.16999999999999998</c:v>
                </c:pt>
                <c:pt idx="3">
                  <c:v>0.28999999999999998</c:v>
                </c:pt>
                <c:pt idx="4">
                  <c:v>0.64999999999999991</c:v>
                </c:pt>
                <c:pt idx="5">
                  <c:v>0.34</c:v>
                </c:pt>
                <c:pt idx="6">
                  <c:v>4.9999999999999989E-2</c:v>
                </c:pt>
                <c:pt idx="7">
                  <c:v>0.52</c:v>
                </c:pt>
                <c:pt idx="8">
                  <c:v>0.2</c:v>
                </c:pt>
                <c:pt idx="9">
                  <c:v>0.73</c:v>
                </c:pt>
                <c:pt idx="10">
                  <c:v>2.9999999999999971E-2</c:v>
                </c:pt>
                <c:pt idx="11">
                  <c:v>0.41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Sheet1!$H$2:$H$13</c15:f>
                <c15:dlblRangeCache>
                  <c:ptCount val="12"/>
                  <c:pt idx="0">
                    <c:v>82%</c:v>
                  </c:pt>
                  <c:pt idx="1">
                    <c:v>35%</c:v>
                  </c:pt>
                  <c:pt idx="2">
                    <c:v>76%</c:v>
                  </c:pt>
                  <c:pt idx="3">
                    <c:v>64%</c:v>
                  </c:pt>
                  <c:pt idx="4">
                    <c:v>28%</c:v>
                  </c:pt>
                  <c:pt idx="5">
                    <c:v>59%</c:v>
                  </c:pt>
                  <c:pt idx="6">
                    <c:v>88%</c:v>
                  </c:pt>
                  <c:pt idx="7">
                    <c:v>41%</c:v>
                  </c:pt>
                  <c:pt idx="8">
                    <c:v>73%</c:v>
                  </c:pt>
                  <c:pt idx="9">
                    <c:v>20%</c:v>
                  </c:pt>
                  <c:pt idx="10">
                    <c:v>90%</c:v>
                  </c:pt>
                  <c:pt idx="11">
                    <c:v>52%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D6AB-4F9D-8E27-369640084248}"/>
            </c:ext>
          </c:extLst>
        </c:ser>
        <c:ser>
          <c:idx val="3"/>
          <c:order val="3"/>
          <c:spPr>
            <a:blipFill>
              <a:blip xmlns:r="http://schemas.openxmlformats.org/officeDocument/2006/relationships" r:embed="rId4"/>
              <a:stretch>
                <a:fillRect/>
              </a:stretch>
            </a:blip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Ahmed</c:v>
                </c:pt>
                <c:pt idx="1">
                  <c:v>Amina</c:v>
                </c:pt>
                <c:pt idx="2">
                  <c:v>Hassan</c:v>
                </c:pt>
                <c:pt idx="3">
                  <c:v>Fatima</c:v>
                </c:pt>
                <c:pt idx="4">
                  <c:v>Ali</c:v>
                </c:pt>
                <c:pt idx="5">
                  <c:v>Maryan</c:v>
                </c:pt>
                <c:pt idx="6">
                  <c:v>Omar</c:v>
                </c:pt>
                <c:pt idx="7">
                  <c:v>Khadra</c:v>
                </c:pt>
                <c:pt idx="8">
                  <c:v>Yusuf</c:v>
                </c:pt>
                <c:pt idx="9">
                  <c:v>Hawa</c:v>
                </c:pt>
                <c:pt idx="10">
                  <c:v>Abdi</c:v>
                </c:pt>
                <c:pt idx="11">
                  <c:v>Nasra</c:v>
                </c:pt>
              </c:strCache>
            </c:strRef>
          </c:cat>
          <c:val>
            <c:numRef>
              <c:f>Sheet1!$G$2:$G$13</c:f>
              <c:numCache>
                <c:formatCode>0%</c:formatCode>
                <c:ptCount val="12"/>
                <c:pt idx="0">
                  <c:v>7.0000000000000007E-2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AB-4F9D-8E27-369640084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1498726255"/>
        <c:axId val="1498727919"/>
      </c:barChart>
      <c:catAx>
        <c:axId val="1498726255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498727919"/>
        <c:crosses val="autoZero"/>
        <c:auto val="1"/>
        <c:lblAlgn val="ctr"/>
        <c:lblOffset val="100"/>
        <c:noMultiLvlLbl val="0"/>
      </c:catAx>
      <c:valAx>
        <c:axId val="1498727919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49872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796572</xdr:colOff>
      <xdr:row>13</xdr:row>
      <xdr:rowOff>167570</xdr:rowOff>
    </xdr:from>
    <xdr:to>
      <xdr:col>7</xdr:col>
      <xdr:colOff>783872</xdr:colOff>
      <xdr:row>31</xdr:row>
      <xdr:rowOff>128412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J13" totalsRowShown="0" headerRowDxfId="6">
  <autoFilter ref="A1:J13"/>
  <tableColumns count="10">
    <tableColumn id="1" name="Employee" dataDxfId="10"/>
    <tableColumn id="2" name="Department" dataDxfId="9"/>
    <tableColumn id="3" name="Salary" dataDxfId="5"/>
    <tableColumn id="9" name="Column2" dataDxfId="3"/>
    <tableColumn id="10" name="Column3" dataDxfId="2">
      <calculatedColumnFormula>H2-D2</calculatedColumnFormula>
    </tableColumn>
    <tableColumn id="11" name="Column4" dataDxfId="1">
      <calculatedColumnFormula>1-H2-G2</calculatedColumnFormula>
    </tableColumn>
    <tableColumn id="8" name="Column1" dataDxfId="0"/>
    <tableColumn id="4" name="Performance Level (%)" dataDxfId="4"/>
    <tableColumn id="5" name="Performance Cell-chart(%)" dataDxfId="7">
      <calculatedColumnFormula>REPT("|",H2*100)&amp;TEXT(H2,"  #%")</calculatedColumnFormula>
    </tableColumn>
    <tableColumn id="6" name="Month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60" zoomScaleNormal="60" workbookViewId="0">
      <selection activeCell="J18" sqref="J18"/>
    </sheetView>
  </sheetViews>
  <sheetFormatPr defaultRowHeight="14.5" x14ac:dyDescent="0.35"/>
  <cols>
    <col min="1" max="1" width="11.36328125" customWidth="1"/>
    <col min="2" max="2" width="13.08984375" customWidth="1"/>
    <col min="3" max="3" width="10.453125" style="7" customWidth="1"/>
    <col min="4" max="7" width="10.453125" style="11" customWidth="1"/>
    <col min="8" max="8" width="20.36328125" style="2" customWidth="1"/>
    <col min="9" max="9" width="26.54296875" style="2" customWidth="1"/>
  </cols>
  <sheetData>
    <row r="1" spans="1:10" s="4" customFormat="1" x14ac:dyDescent="0.35">
      <c r="A1" s="3" t="s">
        <v>0</v>
      </c>
      <c r="B1" s="3" t="s">
        <v>1</v>
      </c>
      <c r="C1" s="9" t="s">
        <v>2</v>
      </c>
      <c r="D1" s="10" t="s">
        <v>35</v>
      </c>
      <c r="E1" s="10" t="s">
        <v>36</v>
      </c>
      <c r="F1" s="10" t="s">
        <v>37</v>
      </c>
      <c r="G1" s="10" t="s">
        <v>34</v>
      </c>
      <c r="H1" s="3" t="s">
        <v>32</v>
      </c>
      <c r="I1" s="3" t="s">
        <v>33</v>
      </c>
      <c r="J1" s="3" t="s">
        <v>3</v>
      </c>
    </row>
    <row r="2" spans="1:10" x14ac:dyDescent="0.35">
      <c r="A2" s="1" t="s">
        <v>4</v>
      </c>
      <c r="B2" s="1" t="s">
        <v>5</v>
      </c>
      <c r="C2" s="6">
        <v>850</v>
      </c>
      <c r="D2" s="5">
        <v>7.0000000000000007E-2</v>
      </c>
      <c r="E2" s="5">
        <f>H2-D2</f>
        <v>0.75</v>
      </c>
      <c r="F2" s="5">
        <f>1-H2-G2</f>
        <v>0.11000000000000004</v>
      </c>
      <c r="G2" s="5">
        <v>7.0000000000000007E-2</v>
      </c>
      <c r="H2" s="5">
        <v>0.82</v>
      </c>
      <c r="I2" s="8" t="str">
        <f>REPT("|",H2*100)&amp;TEXT(H2,"  #%")</f>
        <v>||||||||||||||||||||||||||||||||||||||||||||||||||||||||||||||||||||||||||||||||||  82%</v>
      </c>
      <c r="J2" s="1" t="s">
        <v>6</v>
      </c>
    </row>
    <row r="3" spans="1:10" x14ac:dyDescent="0.35">
      <c r="A3" s="1" t="s">
        <v>7</v>
      </c>
      <c r="B3" s="1" t="s">
        <v>8</v>
      </c>
      <c r="C3" s="6">
        <v>700</v>
      </c>
      <c r="D3" s="5">
        <v>7.0000000000000007E-2</v>
      </c>
      <c r="E3" s="5">
        <f t="shared" ref="E3:E13" si="0">H3-D3</f>
        <v>0.27999999999999997</v>
      </c>
      <c r="F3" s="5">
        <f t="shared" ref="F3:F13" si="1">1-H3-G3</f>
        <v>0.58000000000000007</v>
      </c>
      <c r="G3" s="5">
        <v>7.0000000000000007E-2</v>
      </c>
      <c r="H3" s="5">
        <v>0.35</v>
      </c>
      <c r="I3" s="8" t="str">
        <f t="shared" ref="I3:I13" si="2">REPT("|",H3*100)&amp;TEXT(H3,"  #%")</f>
        <v>|||||||||||||||||||||||||||||||||||  35%</v>
      </c>
      <c r="J3" s="1" t="s">
        <v>11</v>
      </c>
    </row>
    <row r="4" spans="1:10" x14ac:dyDescent="0.35">
      <c r="A4" s="1" t="s">
        <v>9</v>
      </c>
      <c r="B4" s="1" t="s">
        <v>10</v>
      </c>
      <c r="C4" s="6">
        <v>950</v>
      </c>
      <c r="D4" s="5">
        <v>7.0000000000000007E-2</v>
      </c>
      <c r="E4" s="5">
        <f t="shared" si="0"/>
        <v>0.69</v>
      </c>
      <c r="F4" s="5">
        <f t="shared" si="1"/>
        <v>0.16999999999999998</v>
      </c>
      <c r="G4" s="5">
        <v>7.0000000000000007E-2</v>
      </c>
      <c r="H4" s="5">
        <v>0.76</v>
      </c>
      <c r="I4" s="8" t="str">
        <f t="shared" si="2"/>
        <v>||||||||||||||||||||||||||||||||||||||||||||||||||||||||||||||||||||||||||||  76%</v>
      </c>
      <c r="J4" s="1" t="s">
        <v>15</v>
      </c>
    </row>
    <row r="5" spans="1:10" x14ac:dyDescent="0.35">
      <c r="A5" s="1" t="s">
        <v>12</v>
      </c>
      <c r="B5" s="1" t="s">
        <v>5</v>
      </c>
      <c r="C5" s="6">
        <v>900</v>
      </c>
      <c r="D5" s="5">
        <v>7.0000000000000007E-2</v>
      </c>
      <c r="E5" s="5">
        <f t="shared" si="0"/>
        <v>0.57000000000000006</v>
      </c>
      <c r="F5" s="5">
        <f t="shared" si="1"/>
        <v>0.28999999999999998</v>
      </c>
      <c r="G5" s="5">
        <v>7.0000000000000007E-2</v>
      </c>
      <c r="H5" s="5">
        <v>0.64</v>
      </c>
      <c r="I5" s="8" t="str">
        <f t="shared" si="2"/>
        <v>||||||||||||||||||||||||||||||||||||||||||||||||||||||||||||||||  64%</v>
      </c>
      <c r="J5" s="1" t="s">
        <v>18</v>
      </c>
    </row>
    <row r="6" spans="1:10" x14ac:dyDescent="0.35">
      <c r="A6" s="1" t="s">
        <v>13</v>
      </c>
      <c r="B6" s="1" t="s">
        <v>14</v>
      </c>
      <c r="C6" s="6">
        <v>750</v>
      </c>
      <c r="D6" s="5">
        <v>7.0000000000000007E-2</v>
      </c>
      <c r="E6" s="5">
        <f t="shared" si="0"/>
        <v>0.21000000000000002</v>
      </c>
      <c r="F6" s="5">
        <f t="shared" si="1"/>
        <v>0.64999999999999991</v>
      </c>
      <c r="G6" s="5">
        <v>7.0000000000000007E-2</v>
      </c>
      <c r="H6" s="5">
        <v>0.28000000000000003</v>
      </c>
      <c r="I6" s="8" t="str">
        <f t="shared" si="2"/>
        <v>||||||||||||||||||||||||||||  28%</v>
      </c>
      <c r="J6" s="1" t="s">
        <v>21</v>
      </c>
    </row>
    <row r="7" spans="1:10" x14ac:dyDescent="0.35">
      <c r="A7" s="1" t="s">
        <v>16</v>
      </c>
      <c r="B7" s="1" t="s">
        <v>8</v>
      </c>
      <c r="C7" s="6">
        <v>720</v>
      </c>
      <c r="D7" s="5">
        <v>7.0000000000000007E-2</v>
      </c>
      <c r="E7" s="5">
        <f t="shared" si="0"/>
        <v>0.52</v>
      </c>
      <c r="F7" s="5">
        <f t="shared" si="1"/>
        <v>0.34</v>
      </c>
      <c r="G7" s="5">
        <v>7.0000000000000007E-2</v>
      </c>
      <c r="H7" s="5">
        <v>0.59</v>
      </c>
      <c r="I7" s="8" t="str">
        <f t="shared" si="2"/>
        <v>|||||||||||||||||||||||||||||||||||||||||||||||||||||||||||  59%</v>
      </c>
      <c r="J7" s="1" t="s">
        <v>24</v>
      </c>
    </row>
    <row r="8" spans="1:10" x14ac:dyDescent="0.35">
      <c r="A8" s="1" t="s">
        <v>17</v>
      </c>
      <c r="B8" s="1" t="s">
        <v>10</v>
      </c>
      <c r="C8" s="6">
        <v>980</v>
      </c>
      <c r="D8" s="5">
        <v>7.0000000000000007E-2</v>
      </c>
      <c r="E8" s="5">
        <f t="shared" si="0"/>
        <v>0.81</v>
      </c>
      <c r="F8" s="5">
        <f t="shared" si="1"/>
        <v>4.9999999999999989E-2</v>
      </c>
      <c r="G8" s="5">
        <v>7.0000000000000007E-2</v>
      </c>
      <c r="H8" s="5">
        <v>0.88</v>
      </c>
      <c r="I8" s="8" t="str">
        <f t="shared" si="2"/>
        <v>||||||||||||||||||||||||||||||||||||||||||||||||||||||||||||||||||||||||||||||||||||||||  88%</v>
      </c>
      <c r="J8" s="1" t="s">
        <v>31</v>
      </c>
    </row>
    <row r="9" spans="1:10" x14ac:dyDescent="0.35">
      <c r="A9" s="1" t="s">
        <v>19</v>
      </c>
      <c r="B9" s="1" t="s">
        <v>14</v>
      </c>
      <c r="C9" s="6">
        <v>800</v>
      </c>
      <c r="D9" s="5">
        <v>7.0000000000000007E-2</v>
      </c>
      <c r="E9" s="5">
        <f t="shared" si="0"/>
        <v>0.33999999999999997</v>
      </c>
      <c r="F9" s="5">
        <f t="shared" si="1"/>
        <v>0.52</v>
      </c>
      <c r="G9" s="5">
        <v>7.0000000000000007E-2</v>
      </c>
      <c r="H9" s="5">
        <v>0.41</v>
      </c>
      <c r="I9" s="8" t="str">
        <f t="shared" si="2"/>
        <v>|||||||||||||||||||||||||||||||||||||||||  41%</v>
      </c>
      <c r="J9" s="1" t="s">
        <v>27</v>
      </c>
    </row>
    <row r="10" spans="1:10" x14ac:dyDescent="0.35">
      <c r="A10" s="1" t="s">
        <v>20</v>
      </c>
      <c r="B10" s="1" t="s">
        <v>5</v>
      </c>
      <c r="C10" s="6">
        <v>920</v>
      </c>
      <c r="D10" s="5">
        <v>7.0000000000000007E-2</v>
      </c>
      <c r="E10" s="5">
        <f t="shared" si="0"/>
        <v>0.65999999999999992</v>
      </c>
      <c r="F10" s="5">
        <f t="shared" si="1"/>
        <v>0.2</v>
      </c>
      <c r="G10" s="5">
        <v>7.0000000000000007E-2</v>
      </c>
      <c r="H10" s="5">
        <v>0.73</v>
      </c>
      <c r="I10" s="8" t="str">
        <f t="shared" si="2"/>
        <v>|||||||||||||||||||||||||||||||||||||||||||||||||||||||||||||||||||||||||  73%</v>
      </c>
      <c r="J10" s="1" t="s">
        <v>30</v>
      </c>
    </row>
    <row r="11" spans="1:10" x14ac:dyDescent="0.35">
      <c r="A11" s="1" t="s">
        <v>22</v>
      </c>
      <c r="B11" s="1" t="s">
        <v>8</v>
      </c>
      <c r="C11" s="6">
        <v>740</v>
      </c>
      <c r="D11" s="5">
        <v>7.0000000000000007E-2</v>
      </c>
      <c r="E11" s="5">
        <f t="shared" si="0"/>
        <v>0.13</v>
      </c>
      <c r="F11" s="5">
        <f t="shared" si="1"/>
        <v>0.73</v>
      </c>
      <c r="G11" s="5">
        <v>7.0000000000000007E-2</v>
      </c>
      <c r="H11" s="5">
        <v>0.2</v>
      </c>
      <c r="I11" s="8" t="str">
        <f t="shared" si="2"/>
        <v>||||||||||||||||||||  20%</v>
      </c>
      <c r="J11" s="1" t="s">
        <v>28</v>
      </c>
    </row>
    <row r="12" spans="1:10" x14ac:dyDescent="0.35">
      <c r="A12" s="1" t="s">
        <v>23</v>
      </c>
      <c r="B12" s="1" t="s">
        <v>10</v>
      </c>
      <c r="C12" s="6">
        <v>1000</v>
      </c>
      <c r="D12" s="5">
        <v>7.0000000000000007E-2</v>
      </c>
      <c r="E12" s="5">
        <f t="shared" si="0"/>
        <v>0.83000000000000007</v>
      </c>
      <c r="F12" s="5">
        <f t="shared" si="1"/>
        <v>2.9999999999999971E-2</v>
      </c>
      <c r="G12" s="5">
        <v>7.0000000000000007E-2</v>
      </c>
      <c r="H12" s="5">
        <v>0.9</v>
      </c>
      <c r="I12" s="8" t="str">
        <f t="shared" si="2"/>
        <v>||||||||||||||||||||||||||||||||||||||||||||||||||||||||||||||||||||||||||||||||||||||||||  90%</v>
      </c>
      <c r="J12" s="1" t="s">
        <v>29</v>
      </c>
    </row>
    <row r="13" spans="1:10" x14ac:dyDescent="0.35">
      <c r="A13" s="1" t="s">
        <v>25</v>
      </c>
      <c r="B13" s="1" t="s">
        <v>14</v>
      </c>
      <c r="C13" s="6">
        <v>820</v>
      </c>
      <c r="D13" s="5">
        <v>7.0000000000000007E-2</v>
      </c>
      <c r="E13" s="5">
        <f t="shared" si="0"/>
        <v>0.45</v>
      </c>
      <c r="F13" s="5">
        <f t="shared" si="1"/>
        <v>0.41</v>
      </c>
      <c r="G13" s="5">
        <v>7.0000000000000007E-2</v>
      </c>
      <c r="H13" s="5">
        <v>0.52</v>
      </c>
      <c r="I13" s="8" t="str">
        <f t="shared" si="2"/>
        <v>||||||||||||||||||||||||||||||||||||||||||||||||||||  52%</v>
      </c>
      <c r="J13" s="1" t="s">
        <v>26</v>
      </c>
    </row>
    <row r="19" spans="3:15" x14ac:dyDescent="0.35">
      <c r="C19" s="5"/>
      <c r="D19" s="5"/>
      <c r="E19" s="5"/>
      <c r="F19" s="5"/>
    </row>
    <row r="20" spans="3:15" x14ac:dyDescent="0.35">
      <c r="C20" s="5"/>
      <c r="D20" s="5"/>
      <c r="E20" s="5"/>
      <c r="F20" s="5"/>
    </row>
    <row r="21" spans="3:15" x14ac:dyDescent="0.35">
      <c r="C21" s="5"/>
      <c r="D21" s="5"/>
      <c r="E21" s="5"/>
      <c r="F21" s="5"/>
      <c r="L21" s="5"/>
      <c r="M21" s="5"/>
      <c r="N21" s="5"/>
      <c r="O21" s="5"/>
    </row>
    <row r="22" spans="3:15" x14ac:dyDescent="0.35">
      <c r="C22" s="5"/>
      <c r="D22" s="5"/>
      <c r="E22" s="5"/>
      <c r="F22" s="5"/>
      <c r="L22" s="5"/>
      <c r="M22" s="5"/>
      <c r="N22" s="5"/>
      <c r="O22" s="5"/>
    </row>
    <row r="23" spans="3:15" x14ac:dyDescent="0.35">
      <c r="C23" s="5"/>
      <c r="D23" s="5"/>
      <c r="E23" s="5"/>
      <c r="F23" s="5"/>
      <c r="L23" s="5"/>
      <c r="M23" s="5"/>
      <c r="N23" s="5"/>
      <c r="O23" s="5"/>
    </row>
    <row r="24" spans="3:15" x14ac:dyDescent="0.35">
      <c r="C24" s="5"/>
      <c r="D24" s="5"/>
      <c r="E24" s="5"/>
      <c r="F24" s="5"/>
      <c r="L24" s="5"/>
      <c r="M24" s="5"/>
      <c r="N24" s="5"/>
      <c r="O24" s="5"/>
    </row>
    <row r="25" spans="3:15" x14ac:dyDescent="0.35">
      <c r="C25" s="5"/>
      <c r="D25" s="5"/>
      <c r="E25" s="5"/>
      <c r="F25" s="5"/>
      <c r="L25" s="5"/>
      <c r="M25" s="5"/>
      <c r="N25" s="5"/>
      <c r="O25" s="5"/>
    </row>
    <row r="26" spans="3:15" x14ac:dyDescent="0.35">
      <c r="C26" s="5"/>
      <c r="D26" s="5"/>
      <c r="E26" s="5"/>
      <c r="F26" s="5"/>
      <c r="L26" s="5"/>
      <c r="M26" s="5"/>
      <c r="N26" s="5"/>
      <c r="O26" s="5"/>
    </row>
    <row r="27" spans="3:15" x14ac:dyDescent="0.35">
      <c r="C27" s="5"/>
      <c r="D27" s="5"/>
      <c r="E27" s="5"/>
      <c r="F27" s="5"/>
      <c r="L27" s="5"/>
      <c r="M27" s="5"/>
      <c r="N27" s="5"/>
      <c r="O27" s="5"/>
    </row>
    <row r="28" spans="3:15" x14ac:dyDescent="0.35">
      <c r="C28" s="5"/>
      <c r="D28" s="5"/>
      <c r="E28" s="5"/>
      <c r="F28" s="5"/>
      <c r="L28" s="5"/>
      <c r="M28" s="5"/>
      <c r="N28" s="5"/>
      <c r="O28" s="5"/>
    </row>
    <row r="29" spans="3:15" x14ac:dyDescent="0.35">
      <c r="C29" s="5"/>
      <c r="D29" s="5"/>
      <c r="E29" s="5"/>
      <c r="F29" s="5"/>
      <c r="L29" s="5"/>
      <c r="M29" s="5"/>
      <c r="N29" s="5"/>
      <c r="O29" s="5"/>
    </row>
    <row r="30" spans="3:15" x14ac:dyDescent="0.35">
      <c r="C30" s="5"/>
      <c r="D30" s="5"/>
      <c r="E30" s="5"/>
      <c r="F30" s="5"/>
      <c r="L30" s="5"/>
      <c r="M30" s="5"/>
      <c r="N30" s="5"/>
      <c r="O30" s="5"/>
    </row>
    <row r="31" spans="3:15" x14ac:dyDescent="0.35">
      <c r="L31" s="5"/>
      <c r="M31" s="5"/>
      <c r="N31" s="5"/>
      <c r="O31" s="5"/>
    </row>
    <row r="32" spans="3:15" x14ac:dyDescent="0.35">
      <c r="L32" s="5"/>
      <c r="M32" s="5"/>
      <c r="N32" s="5"/>
      <c r="O32" s="5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2026-07-21T04:53:46Z</dcterms:created>
  <dcterms:modified xsi:type="dcterms:W3CDTF">2026-07-21T06:32:24Z</dcterms:modified>
</cp:coreProperties>
</file>